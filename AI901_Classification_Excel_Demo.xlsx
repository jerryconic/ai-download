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erryconic-my.sharepoint.com/personal/jerry_jerryconic_onmicrosoft_com/Documents/01_DataFile/課程準備/AI導論/"/>
    </mc:Choice>
  </mc:AlternateContent>
  <xr:revisionPtr revIDLastSave="0" documentId="8_{0E93CE9C-547C-491D-8482-8D784AA6C63D}" xr6:coauthVersionLast="47" xr6:coauthVersionMax="47" xr10:uidLastSave="{00000000-0000-0000-0000-000000000000}"/>
  <bookViews>
    <workbookView xWindow="7646" yWindow="2863" windowWidth="24685" windowHeight="13054" activeTab="1" xr2:uid="{00000000-000D-0000-FFFF-FFFF00000000}"/>
  </bookViews>
  <sheets>
    <sheet name="課程導論 (Overview)" sheetId="1" r:id="rId1"/>
    <sheet name="分類分析實作 (Classification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E26" i="2"/>
  <c r="S7" i="2"/>
  <c r="S6" i="2"/>
  <c r="D6" i="2"/>
  <c r="E6" i="2" s="1"/>
  <c r="E36" i="2"/>
  <c r="E35" i="2"/>
  <c r="E34" i="2"/>
  <c r="E33" i="2"/>
  <c r="E32" i="2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E37" i="2" l="1"/>
  <c r="E27" i="2"/>
</calcChain>
</file>

<file path=xl/sharedStrings.xml><?xml version="1.0" encoding="utf-8"?>
<sst xmlns="http://schemas.openxmlformats.org/spreadsheetml/2006/main" count="41" uniqueCount="41">
  <si>
    <t>AI-901 第二小時：機器學習分類分析 (Classification) 實作範例</t>
  </si>
  <si>
    <t>體驗核心：劃分資料邊界 (Decision Boundary) 與不平衡資料陷阱</t>
  </si>
  <si>
    <t>【本範例教學目的】</t>
  </si>
  <si>
    <t>引導學員在二維空間中（年收入與年齡），藉由調整參數劃出一條「分割線」，試圖將『有買跑車』與『沒買跑車』的客戶切開。</t>
  </si>
  <si>
    <t>此實作能讓學員雙眼目睹「分類邊界」的逼近過程，並帶出資料不平衡時單看『準確率』造成的致命盲點。</t>
  </si>
  <si>
    <t>【實作步驟說明】</t>
  </si>
  <si>
    <t>1. 切換至右側的「分類分析實作 (Classification)」工作表。</t>
  </si>
  <si>
    <t>2. 觀察 A、B、C 欄的歷史真實數據。 C 欄的 1 代表買車（紅點），0 代表沒買（藍點）。</t>
  </si>
  <si>
    <t>3. 請學員在 G2 儲存格手動調整「年收入權重 (a)」，G3 調整「年齡權重 (b)」，G4 調整「判斷門檻 (c)」。</t>
  </si>
  <si>
    <t>4. 觀察 D 欄的『AI 猜測結果』。當 a*年收入 + b*年齡 - c &gt;= 0 時，AI 猜測會買車(1)；反之猜不買(0)。</t>
  </si>
  <si>
    <t>5. 觀察 E 欄，如果 AI 猜對了會顯示 1，猜錯了顯示 0。我們的目標是讓 H22 的『綜合準確率』達到最高！</t>
  </si>
  <si>
    <t>6. 講師導引：引導學員觀看右側圖表中的「分割線」移動。接著，用最下方的 5 筆極端不平衡資料（工廠瑕疵晶片模擬）</t>
  </si>
  <si>
    <t xml:space="preserve">   告訴學員為什麼此時『準確率』會失效，進而帶出 F1-Score 的必要性。</t>
  </si>
  <si>
    <t>客戶跑車購買意願分類模擬</t>
  </si>
  <si>
    <t>年收入權重因子(a)</t>
  </si>
  <si>
    <t>請學員調整右側藍色區塊的參數，利用右方的 XY 散佈圖，用眼睛將紅點與藍點完美一刀切開！</t>
  </si>
  <si>
    <t>年齡權重因子(b)</t>
  </si>
  <si>
    <t>決策邊界門檻值(c)</t>
  </si>
  <si>
    <t>年收入 (萬元) [X1]</t>
  </si>
  <si>
    <t>年齡 [X2]</t>
  </si>
  <si>
    <t>真實買車狀態 [Y]</t>
  </si>
  <si>
    <t>AI 猜測結果 [ŷ]</t>
  </si>
  <si>
    <t>猜對得分 (對=1/錯=0)</t>
  </si>
  <si>
    <t>綜合準確率 (Accuracy):</t>
  </si>
  <si>
    <t>🚨 觀念加深：極端不平衡資料測試區（工廠晶片瑕疵模擬）</t>
  </si>
  <si>
    <t>晶片測試電壓</t>
  </si>
  <si>
    <t>電流雜訊</t>
  </si>
  <si>
    <t>真實狀態 (0完美/1瑕疵)</t>
  </si>
  <si>
    <t>盲目猜完美模型</t>
  </si>
  <si>
    <t>猜對得分</t>
  </si>
  <si>
    <t>小偷模型的偽準確率:</t>
  </si>
  <si>
    <t>邊界線X</t>
  </si>
  <si>
    <t>邊界線Y</t>
  </si>
  <si>
    <t>買車(Y=1)年收入</t>
  </si>
  <si>
    <t>買車(Y=1)年齡</t>
  </si>
  <si>
    <t>不買車(Y=0)年收入</t>
  </si>
  <si>
    <t>不買車(Y=0)年齡</t>
  </si>
  <si>
    <t>瑕疵(1)電壓</t>
  </si>
  <si>
    <t>瑕疵(1)雜訊</t>
  </si>
  <si>
    <t>完美(0)電壓</t>
  </si>
  <si>
    <t>完美(0)雜訊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</si>
</sst>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8" x14ac:knownFonts="1">
    <font>
      <sz val="11"/>
      <color theme="1"/>
      <name val="新細明體"/>
      <family val="2"/>
      <scheme val="minor"/>
    </font>
    <font>
      <b/>
      <sz val="16"/>
      <color rgb="FF1F497D"/>
      <name val="Segoe UI"/>
    </font>
    <font>
      <i/>
      <sz val="11"/>
      <name val="Segoe UI"/>
    </font>
    <font>
      <sz val="11"/>
      <name val="Segoe UI"/>
    </font>
    <font>
      <b/>
      <sz val="11"/>
      <name val="Segoe UI"/>
    </font>
    <font>
      <b/>
      <sz val="11"/>
      <color rgb="FFFFFFFF"/>
      <name val="Segoe UI"/>
    </font>
    <font>
      <b/>
      <sz val="12"/>
      <color rgb="FFC00000"/>
      <name val="Segoe UI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595959"/>
        <bgColor rgb="FF595959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/>
      <bottom style="medium">
        <color rgb="FF1F497D"/>
      </bottom>
      <diagonal/>
    </border>
    <border>
      <left style="thin">
        <color rgb="FFD9D9D9"/>
      </left>
      <right/>
      <top/>
      <bottom style="medium">
        <color rgb="FF1F497D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1" fontId="3" fillId="5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6" fillId="0" borderId="0" xfId="0" applyFont="1"/>
    <xf numFmtId="2" fontId="3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4" fillId="5" borderId="0" xfId="0" applyNumberFormat="1" applyFont="1" applyFill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3" fontId="3" fillId="5" borderId="3" xfId="0" applyNumberFormat="1" applyFont="1" applyFill="1" applyBorder="1" applyAlignment="1">
      <alignment horizontal="right" vertical="center"/>
    </xf>
    <xf numFmtId="1" fontId="3" fillId="0" borderId="4" xfId="0" applyNumberFormat="1" applyFont="1" applyBorder="1" applyAlignment="1">
      <alignment horizontal="right" vertical="center"/>
    </xf>
    <xf numFmtId="1" fontId="3" fillId="5" borderId="4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right" vertical="center"/>
    </xf>
    <xf numFmtId="3" fontId="3" fillId="5" borderId="9" xfId="0" applyNumberFormat="1" applyFont="1" applyFill="1" applyBorder="1" applyAlignment="1">
      <alignment horizontal="right" vertical="center"/>
    </xf>
    <xf numFmtId="1" fontId="3" fillId="2" borderId="9" xfId="0" applyNumberFormat="1" applyFont="1" applyFill="1" applyBorder="1" applyAlignment="1">
      <alignment horizontal="right" vertical="center"/>
    </xf>
    <xf numFmtId="1" fontId="3" fillId="5" borderId="9" xfId="0" applyNumberFormat="1" applyFont="1" applyFill="1" applyBorder="1" applyAlignment="1">
      <alignment horizontal="right" vertical="center"/>
    </xf>
    <xf numFmtId="1" fontId="3" fillId="5" borderId="10" xfId="0" applyNumberFormat="1" applyFont="1" applyFill="1" applyBorder="1" applyAlignment="1">
      <alignment horizontal="right" vertical="center"/>
    </xf>
    <xf numFmtId="176" fontId="0" fillId="6" borderId="2" xfId="0" applyNumberFormat="1" applyFont="1" applyFill="1" applyBorder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177" fontId="3" fillId="5" borderId="3" xfId="0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5" borderId="4" xfId="0" applyFont="1" applyFill="1" applyBorder="1" applyAlignment="1">
      <alignment horizontal="right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77" fontId="3" fillId="0" borderId="8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0" fontId="3" fillId="4" borderId="9" xfId="0" applyFont="1" applyFill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</cellXfs>
  <cellStyles count="1">
    <cellStyle name="一般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595959"/>
          <bgColor rgb="FF59595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rgb="FFDCE6F1"/>
          <bgColor rgb="FFDCE6F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77" formatCode="0.0"/>
      <alignment horizontal="righ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medium">
          <color rgb="FF1F497D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" formatCode="0"/>
      <fill>
        <patternFill patternType="solid">
          <fgColor rgb="FFF2F2F2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" formatCode="0"/>
      <fill>
        <patternFill patternType="solid">
          <fgColor rgb="FFF2F2F2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" formatCode="0"/>
      <fill>
        <patternFill patternType="solid">
          <fgColor rgb="FFDCE6F1"/>
          <bgColor rgb="FFDCE6F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3" formatCode="#,##0"/>
      <fill>
        <patternFill patternType="solid">
          <fgColor rgb="FFF2F2F2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3" formatCode="#,##0"/>
      <fill>
        <patternFill patternType="solid">
          <fgColor rgb="FFF2F2F2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medium">
          <color rgb="FF1F497D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/>
              <a:t>客戶買車分類 </a:t>
            </a:r>
            <a:r>
              <a:rPr lang="en-US"/>
              <a:t>- </a:t>
            </a:r>
            <a:r>
              <a:rPr lang="zh-TW"/>
              <a:t>決策邊界圖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買車 (Y=1)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'分類分析實作 (Classification)'!$L$6:$L$15</c:f>
              <c:numCache>
                <c:formatCode>General</c:formatCode>
                <c:ptCount val="10"/>
                <c:pt idx="0">
                  <c:v>150</c:v>
                </c:pt>
                <c:pt idx="1">
                  <c:v>180</c:v>
                </c:pt>
                <c:pt idx="2">
                  <c:v>200</c:v>
                </c:pt>
                <c:pt idx="3">
                  <c:v>120</c:v>
                </c:pt>
                <c:pt idx="4">
                  <c:v>160</c:v>
                </c:pt>
                <c:pt idx="5">
                  <c:v>220</c:v>
                </c:pt>
                <c:pt idx="6">
                  <c:v>140</c:v>
                </c:pt>
                <c:pt idx="7">
                  <c:v>190</c:v>
                </c:pt>
                <c:pt idx="8">
                  <c:v>135</c:v>
                </c:pt>
                <c:pt idx="9">
                  <c:v>175</c:v>
                </c:pt>
              </c:numCache>
            </c:numRef>
          </c:xVal>
          <c:yVal>
            <c:numRef>
              <c:f>'分類分析實作 (Classification)'!$M$6:$M$15</c:f>
              <c:numCache>
                <c:formatCode>General</c:formatCode>
                <c:ptCount val="10"/>
                <c:pt idx="0">
                  <c:v>45</c:v>
                </c:pt>
                <c:pt idx="1">
                  <c:v>50</c:v>
                </c:pt>
                <c:pt idx="2">
                  <c:v>38</c:v>
                </c:pt>
                <c:pt idx="3">
                  <c:v>55</c:v>
                </c:pt>
                <c:pt idx="4">
                  <c:v>42</c:v>
                </c:pt>
                <c:pt idx="5">
                  <c:v>47</c:v>
                </c:pt>
                <c:pt idx="6">
                  <c:v>48</c:v>
                </c:pt>
                <c:pt idx="7">
                  <c:v>41</c:v>
                </c:pt>
                <c:pt idx="8">
                  <c:v>52</c:v>
                </c:pt>
                <c:pt idx="9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F-417D-A81D-ADA1A3D74554}"/>
            </c:ext>
          </c:extLst>
        </c:ser>
        <c:ser>
          <c:idx val="1"/>
          <c:order val="1"/>
          <c:tx>
            <c:v>不買車 (Y=0)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'分類分析實作 (Classification)'!$O$6:$O$16</c:f>
              <c:numCache>
                <c:formatCode>General</c:formatCode>
                <c:ptCount val="11"/>
                <c:pt idx="0">
                  <c:v>50</c:v>
                </c:pt>
                <c:pt idx="1">
                  <c:v>65</c:v>
                </c:pt>
                <c:pt idx="2">
                  <c:v>80</c:v>
                </c:pt>
                <c:pt idx="3">
                  <c:v>45</c:v>
                </c:pt>
                <c:pt idx="4">
                  <c:v>90</c:v>
                </c:pt>
                <c:pt idx="5">
                  <c:v>75</c:v>
                </c:pt>
                <c:pt idx="6">
                  <c:v>110</c:v>
                </c:pt>
                <c:pt idx="7">
                  <c:v>55</c:v>
                </c:pt>
                <c:pt idx="8">
                  <c:v>70</c:v>
                </c:pt>
                <c:pt idx="9">
                  <c:v>85</c:v>
                </c:pt>
                <c:pt idx="10">
                  <c:v>220</c:v>
                </c:pt>
              </c:numCache>
            </c:numRef>
          </c:xVal>
          <c:yVal>
            <c:numRef>
              <c:f>'分類分析實作 (Classification)'!$P$6:$P$16</c:f>
              <c:numCache>
                <c:formatCode>General</c:formatCode>
                <c:ptCount val="11"/>
                <c:pt idx="0">
                  <c:v>25</c:v>
                </c:pt>
                <c:pt idx="1">
                  <c:v>28</c:v>
                </c:pt>
                <c:pt idx="2">
                  <c:v>22</c:v>
                </c:pt>
                <c:pt idx="3">
                  <c:v>30</c:v>
                </c:pt>
                <c:pt idx="4">
                  <c:v>26</c:v>
                </c:pt>
                <c:pt idx="5">
                  <c:v>35</c:v>
                </c:pt>
                <c:pt idx="6">
                  <c:v>24</c:v>
                </c:pt>
                <c:pt idx="7">
                  <c:v>29</c:v>
                </c:pt>
                <c:pt idx="8">
                  <c:v>31</c:v>
                </c:pt>
                <c:pt idx="9">
                  <c:v>27</c:v>
                </c:pt>
                <c:pt idx="10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DF-417D-A81D-ADA1A3D74554}"/>
            </c:ext>
          </c:extLst>
        </c:ser>
        <c:ser>
          <c:idx val="2"/>
          <c:order val="2"/>
          <c:tx>
            <c:v>決策邊界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'分類分析實作 (Classification)'!$R$6:$R$7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'分類分析實作 (Classification)'!$S$6:$S$7</c:f>
              <c:numCache>
                <c:formatCode>General</c:formatCode>
                <c:ptCount val="2"/>
                <c:pt idx="0">
                  <c:v>80</c:v>
                </c:pt>
                <c:pt idx="1">
                  <c:v>-3.3333333333333335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DF-417D-A81D-ADA1A3D7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786607"/>
        <c:axId val="1812046607"/>
      </c:scatterChart>
      <c:valAx>
        <c:axId val="83778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年收入 </a:t>
                </a:r>
                <a:r>
                  <a:rPr lang="en-US"/>
                  <a:t>(</a:t>
                </a:r>
                <a:r>
                  <a:rPr lang="zh-TW"/>
                  <a:t>萬元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12046607"/>
        <c:crosses val="autoZero"/>
        <c:crossBetween val="midCat"/>
      </c:valAx>
      <c:valAx>
        <c:axId val="18120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年齡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778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/>
              <a:t>晶片瑕疵分類散佈圖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完美 (Y=0)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'分類分析實作 (Classification)'!$O$32:$O$35</c:f>
              <c:numCache>
                <c:formatCode>General</c:formatCode>
                <c:ptCount val="4"/>
                <c:pt idx="0">
                  <c:v>5</c:v>
                </c:pt>
                <c:pt idx="1">
                  <c:v>5.0999999999999996</c:v>
                </c:pt>
                <c:pt idx="2">
                  <c:v>4.9000000000000004</c:v>
                </c:pt>
                <c:pt idx="3">
                  <c:v>5.2</c:v>
                </c:pt>
              </c:numCache>
            </c:numRef>
          </c:xVal>
          <c:yVal>
            <c:numRef>
              <c:f>'分類分析實作 (Classification)'!$P$32:$P$35</c:f>
              <c:numCache>
                <c:formatCode>General</c:formatCode>
                <c:ptCount val="4"/>
                <c:pt idx="0">
                  <c:v>0.12</c:v>
                </c:pt>
                <c:pt idx="1">
                  <c:v>0.15</c:v>
                </c:pt>
                <c:pt idx="2">
                  <c:v>0.11</c:v>
                </c:pt>
                <c:pt idx="3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9-4B74-B092-B4C1BB76180F}"/>
            </c:ext>
          </c:extLst>
        </c:ser>
        <c:ser>
          <c:idx val="1"/>
          <c:order val="1"/>
          <c:tx>
            <c:v>瑕疵 (Y=1)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'分類分析實作 (Classification)'!$L$32</c:f>
              <c:numCache>
                <c:formatCode>General</c:formatCode>
                <c:ptCount val="1"/>
                <c:pt idx="0">
                  <c:v>3.1</c:v>
                </c:pt>
              </c:numCache>
            </c:numRef>
          </c:xVal>
          <c:yVal>
            <c:numRef>
              <c:f>'分類分析實作 (Classification)'!$M$32</c:f>
              <c:numCache>
                <c:formatCode>General</c:formatCode>
                <c:ptCount val="1"/>
                <c:pt idx="0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39-4B74-B092-B4C1BB761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996159"/>
        <c:axId val="1158548783"/>
      </c:scatterChart>
      <c:valAx>
        <c:axId val="62899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晶片測試電壓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8548783"/>
        <c:crosses val="autoZero"/>
        <c:crossBetween val="midCat"/>
      </c:valAx>
      <c:valAx>
        <c:axId val="11585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電流雜訊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99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92528</xdr:colOff>
      <xdr:row>5</xdr:row>
      <xdr:rowOff>38100</xdr:rowOff>
    </xdr:from>
    <xdr:to>
      <xdr:col>10</xdr:col>
      <xdr:colOff>408215</xdr:colOff>
      <xdr:row>21</xdr:row>
      <xdr:rowOff>10885</xdr:rowOff>
    </xdr:to>
    <xdr:graphicFrame macro="">
      <xdr:nvGraphicFramePr>
        <xdr:cNvPr id="6" name="分類散佈圖">
          <a:extLst>
            <a:ext uri="{FF2B5EF4-FFF2-40B4-BE49-F238E27FC236}">
              <a16:creationId xmlns:a16="http://schemas.microsoft.com/office/drawing/2014/main" id="{4446F9C5-5084-AAE1-3C1A-F1D0C52AB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97971</xdr:colOff>
      <xdr:row>30</xdr:row>
      <xdr:rowOff>38100</xdr:rowOff>
    </xdr:from>
    <xdr:to>
      <xdr:col>10</xdr:col>
      <xdr:colOff>473529</xdr:colOff>
      <xdr:row>46</xdr:row>
      <xdr:rowOff>5443</xdr:rowOff>
    </xdr:to>
    <xdr:graphicFrame macro="">
      <xdr:nvGraphicFramePr>
        <xdr:cNvPr id="8" name="晶片散佈圖">
          <a:extLst>
            <a:ext uri="{FF2B5EF4-FFF2-40B4-BE49-F238E27FC236}">
              <a16:creationId xmlns:a16="http://schemas.microsoft.com/office/drawing/2014/main" id="{B23D0163-55A8-FC41-1C68-9B410BD22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0707E-AB14-4F88-96D7-32E65EC96F0C}" name="AI_Data" displayName="AI_Data" ref="A5:E26" totalsRowShown="0" headerRowDxfId="9" headerRowBorderDxfId="16" tableBorderDxfId="17" totalsRowBorderDxfId="15">
  <autoFilter ref="A5:E26" xr:uid="{0670707E-AB14-4F88-96D7-32E65EC96F0C}"/>
  <tableColumns count="5">
    <tableColumn id="1" xr3:uid="{481EC58E-1134-494E-A5C0-E8F1AC30EB07}" name="年收入 (萬元) [X1]" dataDxfId="14"/>
    <tableColumn id="2" xr3:uid="{38247C3C-F648-4D84-BF3D-ED851056E8FA}" name="年齡 [X2]" dataDxfId="13"/>
    <tableColumn id="3" xr3:uid="{2A63F6A4-F52B-4777-9032-56C0532F54AB}" name="真實買車狀態 [Y]" dataDxfId="12"/>
    <tableColumn id="4" xr3:uid="{062E7662-2198-455F-B3F8-520E6E7FE45A}" name="AI 猜測結果 [ŷ]" dataDxfId="11">
      <calculatedColumnFormula>IF(($H$2*A6+$H$3*B6-$H$4)&gt;=0,1,0)</calculatedColumnFormula>
    </tableColumn>
    <tableColumn id="5" xr3:uid="{BBCCDE29-6686-4CB9-A3C4-0F976CFC3D89}" name="猜對得分 (對=1/錯=0)" dataDxfId="10">
      <calculatedColumnFormula>IF(C6=D6,1,0)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94369D-8F28-4F29-A3AA-E96E249FE40E}" name="Chip_Data" displayName="Chip_Data" ref="A31:E36" totalsRowShown="0" headerRowDxfId="0" headerRowBorderDxfId="7" tableBorderDxfId="8" totalsRowBorderDxfId="6">
  <autoFilter ref="A31:E36" xr:uid="{2894369D-8F28-4F29-A3AA-E96E249FE40E}"/>
  <tableColumns count="5">
    <tableColumn id="1" xr3:uid="{F7260445-01A8-417E-854A-7DB0CD11646E}" name="晶片測試電壓" dataDxfId="5"/>
    <tableColumn id="2" xr3:uid="{55441BC4-2757-4F43-A5D3-CA69107F306A}" name="電流雜訊" dataDxfId="4"/>
    <tableColumn id="3" xr3:uid="{24865F6B-7384-42E0-BB14-38467344ECDF}" name="真實狀態 (0完美/1瑕疵)" dataDxfId="3"/>
    <tableColumn id="4" xr3:uid="{A017C9C8-522E-4334-8300-8A2DC358D078}" name="盲目猜完美模型" dataDxfId="2"/>
    <tableColumn id="5" xr3:uid="{54C5AD56-897B-462A-ADA0-9749769E771F}" name="猜對得分" dataDxfId="1">
      <calculatedColumnFormula>IF(C32=D32,1,0)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6"/>
  <sheetViews>
    <sheetView workbookViewId="0"/>
  </sheetViews>
  <sheetFormatPr defaultRowHeight="15.45" x14ac:dyDescent="0.4"/>
  <cols>
    <col min="1" max="1" width="117" customWidth="1"/>
  </cols>
  <sheetData>
    <row r="2" spans="1:1" ht="23.15" x14ac:dyDescent="0.7">
      <c r="A2" s="1" t="s">
        <v>0</v>
      </c>
    </row>
    <row r="3" spans="1:1" ht="17.149999999999999" x14ac:dyDescent="0.55000000000000004">
      <c r="A3" s="2" t="s">
        <v>1</v>
      </c>
    </row>
    <row r="5" spans="1:1" ht="17.149999999999999" x14ac:dyDescent="0.55000000000000004">
      <c r="A5" s="3" t="s">
        <v>2</v>
      </c>
    </row>
    <row r="6" spans="1:1" ht="17.149999999999999" x14ac:dyDescent="0.55000000000000004">
      <c r="A6" s="3" t="s">
        <v>3</v>
      </c>
    </row>
    <row r="7" spans="1:1" ht="17.149999999999999" x14ac:dyDescent="0.55000000000000004">
      <c r="A7" s="3" t="s">
        <v>4</v>
      </c>
    </row>
    <row r="8" spans="1:1" ht="17.149999999999999" x14ac:dyDescent="0.55000000000000004">
      <c r="A8" s="3"/>
    </row>
    <row r="9" spans="1:1" ht="17.149999999999999" x14ac:dyDescent="0.55000000000000004">
      <c r="A9" s="3" t="s">
        <v>5</v>
      </c>
    </row>
    <row r="10" spans="1:1" ht="17.149999999999999" x14ac:dyDescent="0.55000000000000004">
      <c r="A10" s="3" t="s">
        <v>6</v>
      </c>
    </row>
    <row r="11" spans="1:1" ht="17.149999999999999" x14ac:dyDescent="0.55000000000000004">
      <c r="A11" s="3" t="s">
        <v>7</v>
      </c>
    </row>
    <row r="12" spans="1:1" ht="17.149999999999999" x14ac:dyDescent="0.55000000000000004">
      <c r="A12" s="3" t="s">
        <v>8</v>
      </c>
    </row>
    <row r="13" spans="1:1" ht="17.149999999999999" x14ac:dyDescent="0.55000000000000004">
      <c r="A13" s="3" t="s">
        <v>9</v>
      </c>
    </row>
    <row r="14" spans="1:1" ht="17.149999999999999" x14ac:dyDescent="0.55000000000000004">
      <c r="A14" s="3" t="s">
        <v>10</v>
      </c>
    </row>
    <row r="15" spans="1:1" ht="17.149999999999999" x14ac:dyDescent="0.55000000000000004">
      <c r="A15" s="3" t="s">
        <v>11</v>
      </c>
    </row>
    <row r="16" spans="1:1" ht="17.149999999999999" x14ac:dyDescent="0.55000000000000004">
      <c r="A16" s="3" t="s">
        <v>12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37"/>
  <sheetViews>
    <sheetView tabSelected="1" topLeftCell="A19" workbookViewId="0">
      <selection activeCell="E37" sqref="E37"/>
    </sheetView>
  </sheetViews>
  <sheetFormatPr defaultRowHeight="15.45" x14ac:dyDescent="0.4"/>
  <cols>
    <col min="1" max="1" width="20.9140625" customWidth="1"/>
    <col min="2" max="2" width="16" customWidth="1"/>
    <col min="3" max="3" width="26" customWidth="1"/>
    <col min="4" max="4" width="20" customWidth="1"/>
    <col min="5" max="5" width="24.6640625" customWidth="1"/>
    <col min="6" max="6" width="12" customWidth="1"/>
    <col min="7" max="7" width="24" customWidth="1"/>
    <col min="8" max="8" width="15" customWidth="1"/>
    <col min="18" max="18" width="8.9140625" customWidth="1"/>
    <col min="19" max="19" width="12.83203125" customWidth="1"/>
  </cols>
  <sheetData>
    <row r="2" spans="1:19" ht="23.15" x14ac:dyDescent="0.7">
      <c r="A2" s="1" t="s">
        <v>13</v>
      </c>
      <c r="G2" s="4" t="s">
        <v>14</v>
      </c>
      <c r="H2" s="5">
        <v>0.5</v>
      </c>
    </row>
    <row r="3" spans="1:19" ht="17.149999999999999" x14ac:dyDescent="0.55000000000000004">
      <c r="A3" s="2" t="s">
        <v>15</v>
      </c>
      <c r="G3" s="4" t="s">
        <v>16</v>
      </c>
      <c r="H3" s="5">
        <v>1.5</v>
      </c>
    </row>
    <row r="4" spans="1:19" ht="17.149999999999999" x14ac:dyDescent="0.55000000000000004">
      <c r="G4" s="4" t="s">
        <v>17</v>
      </c>
      <c r="H4" s="5">
        <v>120</v>
      </c>
    </row>
    <row r="5" spans="1:19" ht="17.149999999999999" x14ac:dyDescent="0.4">
      <c r="A5" s="25" t="s">
        <v>18</v>
      </c>
      <c r="B5" s="26" t="s">
        <v>19</v>
      </c>
      <c r="C5" s="26" t="s">
        <v>20</v>
      </c>
      <c r="D5" s="26" t="s">
        <v>21</v>
      </c>
      <c r="E5" s="27" t="s">
        <v>22</v>
      </c>
      <c r="L5" t="s">
        <v>33</v>
      </c>
      <c r="M5" t="s">
        <v>34</v>
      </c>
      <c r="O5" t="s">
        <v>35</v>
      </c>
      <c r="P5" t="s">
        <v>36</v>
      </c>
      <c r="R5" t="s">
        <v>31</v>
      </c>
      <c r="S5" t="s">
        <v>32</v>
      </c>
    </row>
    <row r="6" spans="1:19" ht="17.149999999999999" x14ac:dyDescent="0.4">
      <c r="A6" s="21">
        <v>150</v>
      </c>
      <c r="B6" s="6">
        <v>45</v>
      </c>
      <c r="C6" s="7">
        <v>1</v>
      </c>
      <c r="D6" s="8">
        <f>IF(($H$2*A6+$H$3*B6-$H$4)&gt;=0,1,0)</f>
        <v>1</v>
      </c>
      <c r="E6" s="23">
        <f t="shared" ref="E6:E25" si="0">IF(C6=D6,1,0)</f>
        <v>1</v>
      </c>
      <c r="L6">
        <v>150</v>
      </c>
      <c r="M6">
        <v>45</v>
      </c>
      <c r="O6">
        <v>50</v>
      </c>
      <c r="P6">
        <v>25</v>
      </c>
      <c r="R6">
        <v>0</v>
      </c>
      <c r="S6">
        <f>($H$4-$H$2*R6)/$H$3</f>
        <v>80</v>
      </c>
    </row>
    <row r="7" spans="1:19" ht="17.149999999999999" x14ac:dyDescent="0.4">
      <c r="A7" s="22">
        <v>180</v>
      </c>
      <c r="B7" s="9">
        <v>50</v>
      </c>
      <c r="C7" s="7">
        <v>1</v>
      </c>
      <c r="D7" s="10">
        <f t="shared" ref="D7:D25" si="1">IF(($H$2*A7+$H$3*B7-$H$4)&gt;=0,1,0)</f>
        <v>1</v>
      </c>
      <c r="E7" s="24">
        <f t="shared" si="0"/>
        <v>1</v>
      </c>
      <c r="L7">
        <v>180</v>
      </c>
      <c r="M7">
        <v>50</v>
      </c>
      <c r="O7">
        <v>65</v>
      </c>
      <c r="P7">
        <v>28</v>
      </c>
      <c r="R7">
        <v>250</v>
      </c>
      <c r="S7">
        <f>($H$4-$H$2*R7)/$H$3</f>
        <v>-3.3333333333333335</v>
      </c>
    </row>
    <row r="8" spans="1:19" ht="17.149999999999999" x14ac:dyDescent="0.4">
      <c r="A8" s="21">
        <v>200</v>
      </c>
      <c r="B8" s="6">
        <v>38</v>
      </c>
      <c r="C8" s="7">
        <v>1</v>
      </c>
      <c r="D8" s="8">
        <f t="shared" si="1"/>
        <v>1</v>
      </c>
      <c r="E8" s="23">
        <f t="shared" si="0"/>
        <v>1</v>
      </c>
      <c r="L8">
        <v>200</v>
      </c>
      <c r="M8">
        <v>38</v>
      </c>
      <c r="O8">
        <v>80</v>
      </c>
      <c r="P8">
        <v>22</v>
      </c>
    </row>
    <row r="9" spans="1:19" ht="17.149999999999999" x14ac:dyDescent="0.4">
      <c r="A9" s="22">
        <v>120</v>
      </c>
      <c r="B9" s="9">
        <v>55</v>
      </c>
      <c r="C9" s="7">
        <v>1</v>
      </c>
      <c r="D9" s="10">
        <f t="shared" si="1"/>
        <v>1</v>
      </c>
      <c r="E9" s="24">
        <f t="shared" si="0"/>
        <v>1</v>
      </c>
      <c r="L9">
        <v>120</v>
      </c>
      <c r="M9">
        <v>55</v>
      </c>
      <c r="O9">
        <v>45</v>
      </c>
      <c r="P9">
        <v>30</v>
      </c>
    </row>
    <row r="10" spans="1:19" ht="17.149999999999999" x14ac:dyDescent="0.4">
      <c r="A10" s="21">
        <v>160</v>
      </c>
      <c r="B10" s="6">
        <v>42</v>
      </c>
      <c r="C10" s="7">
        <v>1</v>
      </c>
      <c r="D10" s="8">
        <f t="shared" si="1"/>
        <v>1</v>
      </c>
      <c r="E10" s="23">
        <f t="shared" si="0"/>
        <v>1</v>
      </c>
      <c r="L10">
        <v>160</v>
      </c>
      <c r="M10">
        <v>42</v>
      </c>
      <c r="O10">
        <v>90</v>
      </c>
      <c r="P10">
        <v>26</v>
      </c>
    </row>
    <row r="11" spans="1:19" ht="17.149999999999999" x14ac:dyDescent="0.4">
      <c r="A11" s="22">
        <v>220</v>
      </c>
      <c r="B11" s="9">
        <v>47</v>
      </c>
      <c r="C11" s="7">
        <v>1</v>
      </c>
      <c r="D11" s="10">
        <f t="shared" si="1"/>
        <v>1</v>
      </c>
      <c r="E11" s="24">
        <f t="shared" si="0"/>
        <v>1</v>
      </c>
      <c r="L11">
        <v>220</v>
      </c>
      <c r="M11">
        <v>47</v>
      </c>
      <c r="O11">
        <v>75</v>
      </c>
      <c r="P11">
        <v>35</v>
      </c>
    </row>
    <row r="12" spans="1:19" ht="17.149999999999999" x14ac:dyDescent="0.4">
      <c r="A12" s="21">
        <v>140</v>
      </c>
      <c r="B12" s="6">
        <v>48</v>
      </c>
      <c r="C12" s="7">
        <v>1</v>
      </c>
      <c r="D12" s="8">
        <f t="shared" si="1"/>
        <v>1</v>
      </c>
      <c r="E12" s="23">
        <f t="shared" si="0"/>
        <v>1</v>
      </c>
      <c r="L12">
        <v>140</v>
      </c>
      <c r="M12">
        <v>48</v>
      </c>
      <c r="O12">
        <v>110</v>
      </c>
      <c r="P12">
        <v>24</v>
      </c>
    </row>
    <row r="13" spans="1:19" ht="17.149999999999999" x14ac:dyDescent="0.4">
      <c r="A13" s="22">
        <v>190</v>
      </c>
      <c r="B13" s="9">
        <v>41</v>
      </c>
      <c r="C13" s="7">
        <v>1</v>
      </c>
      <c r="D13" s="10">
        <f t="shared" si="1"/>
        <v>1</v>
      </c>
      <c r="E13" s="24">
        <f t="shared" si="0"/>
        <v>1</v>
      </c>
      <c r="L13">
        <v>190</v>
      </c>
      <c r="M13">
        <v>41</v>
      </c>
      <c r="O13">
        <v>55</v>
      </c>
      <c r="P13">
        <v>29</v>
      </c>
    </row>
    <row r="14" spans="1:19" ht="17.149999999999999" x14ac:dyDescent="0.4">
      <c r="A14" s="21">
        <v>135</v>
      </c>
      <c r="B14" s="6">
        <v>52</v>
      </c>
      <c r="C14" s="7">
        <v>1</v>
      </c>
      <c r="D14" s="8">
        <f t="shared" si="1"/>
        <v>1</v>
      </c>
      <c r="E14" s="23">
        <f t="shared" si="0"/>
        <v>1</v>
      </c>
      <c r="L14">
        <v>135</v>
      </c>
      <c r="M14">
        <v>52</v>
      </c>
      <c r="O14">
        <v>70</v>
      </c>
      <c r="P14">
        <v>31</v>
      </c>
    </row>
    <row r="15" spans="1:19" ht="17.149999999999999" x14ac:dyDescent="0.4">
      <c r="A15" s="22">
        <v>175</v>
      </c>
      <c r="B15" s="9">
        <v>44</v>
      </c>
      <c r="C15" s="7">
        <v>1</v>
      </c>
      <c r="D15" s="10">
        <f t="shared" si="1"/>
        <v>1</v>
      </c>
      <c r="E15" s="24">
        <f t="shared" si="0"/>
        <v>1</v>
      </c>
      <c r="L15">
        <v>175</v>
      </c>
      <c r="M15">
        <v>44</v>
      </c>
      <c r="O15">
        <v>85</v>
      </c>
      <c r="P15">
        <v>27</v>
      </c>
    </row>
    <row r="16" spans="1:19" ht="17.149999999999999" x14ac:dyDescent="0.4">
      <c r="A16" s="21">
        <v>50</v>
      </c>
      <c r="B16" s="6">
        <v>25</v>
      </c>
      <c r="C16" s="11">
        <v>0</v>
      </c>
      <c r="D16" s="8">
        <f t="shared" si="1"/>
        <v>0</v>
      </c>
      <c r="E16" s="23">
        <f t="shared" si="0"/>
        <v>1</v>
      </c>
      <c r="O16">
        <v>220</v>
      </c>
      <c r="P16">
        <v>55</v>
      </c>
    </row>
    <row r="17" spans="1:16" ht="17.149999999999999" x14ac:dyDescent="0.4">
      <c r="A17" s="22">
        <v>65</v>
      </c>
      <c r="B17" s="9">
        <v>28</v>
      </c>
      <c r="C17" s="11">
        <v>0</v>
      </c>
      <c r="D17" s="10">
        <f t="shared" si="1"/>
        <v>0</v>
      </c>
      <c r="E17" s="24">
        <f t="shared" si="0"/>
        <v>1</v>
      </c>
    </row>
    <row r="18" spans="1:16" ht="17.149999999999999" x14ac:dyDescent="0.4">
      <c r="A18" s="21">
        <v>80</v>
      </c>
      <c r="B18" s="6">
        <v>22</v>
      </c>
      <c r="C18" s="11">
        <v>0</v>
      </c>
      <c r="D18" s="8">
        <f t="shared" si="1"/>
        <v>0</v>
      </c>
      <c r="E18" s="23">
        <f t="shared" si="0"/>
        <v>1</v>
      </c>
    </row>
    <row r="19" spans="1:16" ht="17.149999999999999" x14ac:dyDescent="0.4">
      <c r="A19" s="22">
        <v>45</v>
      </c>
      <c r="B19" s="9">
        <v>30</v>
      </c>
      <c r="C19" s="11">
        <v>0</v>
      </c>
      <c r="D19" s="10">
        <f t="shared" si="1"/>
        <v>0</v>
      </c>
      <c r="E19" s="24">
        <f t="shared" si="0"/>
        <v>1</v>
      </c>
    </row>
    <row r="20" spans="1:16" ht="17.149999999999999" x14ac:dyDescent="0.4">
      <c r="A20" s="21">
        <v>90</v>
      </c>
      <c r="B20" s="6">
        <v>26</v>
      </c>
      <c r="C20" s="11">
        <v>0</v>
      </c>
      <c r="D20" s="8">
        <f t="shared" si="1"/>
        <v>0</v>
      </c>
      <c r="E20" s="23">
        <f t="shared" si="0"/>
        <v>1</v>
      </c>
    </row>
    <row r="21" spans="1:16" ht="17.149999999999999" x14ac:dyDescent="0.4">
      <c r="A21" s="22">
        <v>75</v>
      </c>
      <c r="B21" s="9">
        <v>35</v>
      </c>
      <c r="C21" s="11">
        <v>0</v>
      </c>
      <c r="D21" s="10">
        <f t="shared" si="1"/>
        <v>0</v>
      </c>
      <c r="E21" s="24">
        <f t="shared" si="0"/>
        <v>1</v>
      </c>
    </row>
    <row r="22" spans="1:16" ht="17.149999999999999" x14ac:dyDescent="0.4">
      <c r="A22" s="21">
        <v>110</v>
      </c>
      <c r="B22" s="6">
        <v>24</v>
      </c>
      <c r="C22" s="11">
        <v>0</v>
      </c>
      <c r="D22" s="8">
        <f t="shared" si="1"/>
        <v>0</v>
      </c>
      <c r="E22" s="23">
        <f t="shared" si="0"/>
        <v>1</v>
      </c>
    </row>
    <row r="23" spans="1:16" ht="17.149999999999999" x14ac:dyDescent="0.4">
      <c r="A23" s="22">
        <v>55</v>
      </c>
      <c r="B23" s="9">
        <v>29</v>
      </c>
      <c r="C23" s="11">
        <v>0</v>
      </c>
      <c r="D23" s="10">
        <f t="shared" si="1"/>
        <v>0</v>
      </c>
      <c r="E23" s="24">
        <f t="shared" si="0"/>
        <v>1</v>
      </c>
    </row>
    <row r="24" spans="1:16" ht="17.149999999999999" x14ac:dyDescent="0.4">
      <c r="A24" s="21">
        <v>70</v>
      </c>
      <c r="B24" s="6">
        <v>31</v>
      </c>
      <c r="C24" s="11">
        <v>0</v>
      </c>
      <c r="D24" s="8">
        <f t="shared" si="1"/>
        <v>0</v>
      </c>
      <c r="E24" s="23">
        <f t="shared" si="0"/>
        <v>1</v>
      </c>
    </row>
    <row r="25" spans="1:16" ht="17.149999999999999" x14ac:dyDescent="0.4">
      <c r="A25" s="28">
        <v>85</v>
      </c>
      <c r="B25" s="29">
        <v>27</v>
      </c>
      <c r="C25" s="30">
        <v>0</v>
      </c>
      <c r="D25" s="31">
        <f t="shared" si="1"/>
        <v>0</v>
      </c>
      <c r="E25" s="32">
        <f t="shared" si="0"/>
        <v>1</v>
      </c>
    </row>
    <row r="26" spans="1:16" ht="17.149999999999999" x14ac:dyDescent="0.4">
      <c r="A26" s="21">
        <v>220</v>
      </c>
      <c r="B26" s="6">
        <v>55</v>
      </c>
      <c r="C26" s="11">
        <v>0</v>
      </c>
      <c r="D26" s="8">
        <f>IF(($H$2*A26+$H$3*B26-$H$4)&gt;=0,1,0)</f>
        <v>1</v>
      </c>
      <c r="E26" s="23">
        <f>IF(C26=D26,1,0)</f>
        <v>0</v>
      </c>
    </row>
    <row r="27" spans="1:16" ht="17.149999999999999" x14ac:dyDescent="0.4">
      <c r="D27" s="12" t="s">
        <v>23</v>
      </c>
      <c r="E27" s="33">
        <f>SUM(E6:E26)/COUNT(E6:E26)</f>
        <v>0.95238095238095233</v>
      </c>
    </row>
    <row r="30" spans="1:16" ht="18" x14ac:dyDescent="0.55000000000000004">
      <c r="A30" s="13" t="s">
        <v>24</v>
      </c>
    </row>
    <row r="31" spans="1:16" ht="17.149999999999999" x14ac:dyDescent="0.4">
      <c r="A31" s="38" t="s">
        <v>25</v>
      </c>
      <c r="B31" s="39" t="s">
        <v>26</v>
      </c>
      <c r="C31" s="39" t="s">
        <v>27</v>
      </c>
      <c r="D31" s="39" t="s">
        <v>28</v>
      </c>
      <c r="E31" s="40" t="s">
        <v>29</v>
      </c>
      <c r="L31" t="s">
        <v>37</v>
      </c>
      <c r="M31" t="s">
        <v>38</v>
      </c>
      <c r="O31" t="s">
        <v>39</v>
      </c>
      <c r="P31" t="s">
        <v>40</v>
      </c>
    </row>
    <row r="32" spans="1:16" ht="17.149999999999999" x14ac:dyDescent="0.4">
      <c r="A32" s="34">
        <v>5</v>
      </c>
      <c r="B32" s="14">
        <v>0.12</v>
      </c>
      <c r="C32" s="15">
        <v>0</v>
      </c>
      <c r="D32" s="16">
        <v>0</v>
      </c>
      <c r="E32" s="36">
        <f>IF(C32=D32,1,0)</f>
        <v>1</v>
      </c>
      <c r="L32">
        <v>3.1</v>
      </c>
      <c r="M32">
        <v>0.89</v>
      </c>
      <c r="O32">
        <v>5</v>
      </c>
      <c r="P32">
        <v>0.12</v>
      </c>
    </row>
    <row r="33" spans="1:16" ht="17.149999999999999" x14ac:dyDescent="0.4">
      <c r="A33" s="35">
        <v>5.0999999999999996</v>
      </c>
      <c r="B33" s="17">
        <v>0.15</v>
      </c>
      <c r="C33" s="15">
        <v>0</v>
      </c>
      <c r="D33" s="18">
        <v>0</v>
      </c>
      <c r="E33" s="37">
        <f>IF(C33=D33,1,0)</f>
        <v>1</v>
      </c>
      <c r="O33">
        <v>5.0999999999999996</v>
      </c>
      <c r="P33">
        <v>0.15</v>
      </c>
    </row>
    <row r="34" spans="1:16" ht="17.149999999999999" x14ac:dyDescent="0.4">
      <c r="A34" s="34">
        <v>4.9000000000000004</v>
      </c>
      <c r="B34" s="14">
        <v>0.11</v>
      </c>
      <c r="C34" s="15">
        <v>0</v>
      </c>
      <c r="D34" s="16">
        <v>0</v>
      </c>
      <c r="E34" s="36">
        <f>IF(C34=D34,1,0)</f>
        <v>1</v>
      </c>
      <c r="O34">
        <v>4.9000000000000004</v>
      </c>
      <c r="P34">
        <v>0.11</v>
      </c>
    </row>
    <row r="35" spans="1:16" ht="17.149999999999999" x14ac:dyDescent="0.4">
      <c r="A35" s="35">
        <v>5.2</v>
      </c>
      <c r="B35" s="17">
        <v>0.13</v>
      </c>
      <c r="C35" s="15">
        <v>0</v>
      </c>
      <c r="D35" s="18">
        <v>0</v>
      </c>
      <c r="E35" s="37">
        <f>IF(C35=D35,1,0)</f>
        <v>1</v>
      </c>
      <c r="O35">
        <v>5.2</v>
      </c>
      <c r="P35">
        <v>0.13</v>
      </c>
    </row>
    <row r="36" spans="1:16" ht="17.149999999999999" x14ac:dyDescent="0.4">
      <c r="A36" s="41">
        <v>3.1</v>
      </c>
      <c r="B36" s="42">
        <v>0.89</v>
      </c>
      <c r="C36" s="43">
        <v>1</v>
      </c>
      <c r="D36" s="44">
        <v>0</v>
      </c>
      <c r="E36" s="45">
        <f>IF(C36=D36,1,0)</f>
        <v>0</v>
      </c>
    </row>
    <row r="37" spans="1:16" ht="17.149999999999999" x14ac:dyDescent="0.4">
      <c r="D37" s="19" t="s">
        <v>30</v>
      </c>
      <c r="E37" s="20">
        <f>SUM(E32:E36)/COUNT(E32:E36)</f>
        <v>0.8</v>
      </c>
    </row>
  </sheetData>
  <phoneticPr fontId="7" type="noConversion"/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課程導論 (Overview)</vt:lpstr>
      <vt:lpstr>分類分析實作 (Classification)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黃家瑞</cp:lastModifiedBy>
  <dcterms:created xsi:type="dcterms:W3CDTF">2026-05-26T10:11:15Z</dcterms:created>
  <dcterms:modified xsi:type="dcterms:W3CDTF">2026-05-26T12:35:34Z</dcterms:modified>
</cp:coreProperties>
</file>