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jerryconic-my.sharepoint.com/personal/jerry_jerryconic_onmicrosoft_com/Documents/01_DataFile/課程準備/AI導論/"/>
    </mc:Choice>
  </mc:AlternateContent>
  <xr:revisionPtr revIDLastSave="150" documentId="8_{BA3B1599-6CC6-4997-93E3-A5D780374D51}" xr6:coauthVersionLast="47" xr6:coauthVersionMax="47" xr10:uidLastSave="{A0EA060F-E3EA-438C-95B9-C7344BE4A8A6}"/>
  <bookViews>
    <workbookView xWindow="-108" yWindow="-108" windowWidth="23256" windowHeight="12456" activeTab="1" xr2:uid="{00000000-000D-0000-FFFF-FFFF00000000}"/>
  </bookViews>
  <sheets>
    <sheet name="課程導論 (Overview)" sheetId="1" r:id="rId1"/>
    <sheet name="迴歸分析實作 (Regression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2" i="2"/>
  <c r="J3" i="2"/>
  <c r="J2" i="2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G7" i="2"/>
  <c r="C7" i="2"/>
  <c r="D7" i="2" s="1"/>
  <c r="G6" i="2"/>
  <c r="C6" i="2"/>
  <c r="D6" i="2" s="1"/>
  <c r="D21" i="2" l="1"/>
</calcChain>
</file>

<file path=xl/sharedStrings.xml><?xml version="1.0" encoding="utf-8"?>
<sst xmlns="http://schemas.openxmlformats.org/spreadsheetml/2006/main" count="27" uniqueCount="27">
  <si>
    <t>AI-901 第二小時：機器學習迴歸分析 (Regression) 實作範例</t>
  </si>
  <si>
    <t>體驗核心：人類手動調整公式 vs AI自動化超高速優化</t>
  </si>
  <si>
    <t>【本範例教學目的】</t>
  </si>
  <si>
    <t>引導學員扮演「人類牌計算機」，在不使用進階工具前，嘗試找出『行銷廣告費用(X)』與『實際營業額(Y)』的線性關係。</t>
  </si>
  <si>
    <t>從中體會當變數增加、資料量龐大時，人類計算速度的極限，進而帶出 AI/機器學習的高速嘗試優勢。</t>
  </si>
  <si>
    <t>【實作步驟說明】</t>
  </si>
  <si>
    <t>1. 切換至右側的「迴歸分析實作 (Regression)」工作表。</t>
  </si>
  <si>
    <t>2. 觀察 A 欄與 B 欄的歷史真實數據。我們假設兩者符合最簡單的模型： Y = aX + b</t>
  </si>
  <si>
    <t>3. 請學員在 F2 儲存格手動調整「斜率 (a)」，在 F3 儲存格手動調整「截距 (b)」。</t>
  </si>
  <si>
    <t>4. 觀察 C 欄的『AI 預測值』與 D 欄的『預測誤差平方』會如何隨你的調整而改變。</t>
  </si>
  <si>
    <t>5. 目標：調整 a 與 b，讓 E22 儲存格的『總誤差平方和 (SSE)』達到最小！那條線就是最佳預測模型。</t>
  </si>
  <si>
    <t>6. 討論點：當今天有 20 個影響維度、100 萬筆資料時，人類還能這樣手動拉出來嗎？這就是為什麼需要 Azure AutoML！</t>
  </si>
  <si>
    <t>廣告費用與營業額線性迴歸模擬</t>
  </si>
  <si>
    <t>人類手動調整-斜率(a)</t>
  </si>
  <si>
    <t>請學員手動調整右側的黃色/藍色參數區，試圖將總誤差平方和(SSE)降到最低。</t>
  </si>
  <si>
    <t>人類手動調整-截距(b)</t>
  </si>
  <si>
    <t>廣告費用 (萬元) [X]</t>
  </si>
  <si>
    <t>真實營業額 (萬元) [Y]</t>
  </si>
  <si>
    <t>AI 預測營業額 [ŷ = aX + b]</t>
  </si>
  <si>
    <t>預測誤差平方 [(Y - ŷ)²]</t>
  </si>
  <si>
    <t>💡 參考完美解答 (由數學公式推導)</t>
  </si>
  <si>
    <t>完美斜率 (a):</t>
  </si>
  <si>
    <t>完美截距 (b):</t>
  </si>
  <si>
    <t>完美模型之完美 SSE:</t>
  </si>
  <si>
    <t>總誤差平方和 (SSE):</t>
  </si>
  <si>
    <t>迴歸線X</t>
  </si>
  <si>
    <t>迴歸線Y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</si>
</sst>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6"/>
      <color rgb="FF1F497D"/>
      <name val="Segoe UI"/>
    </font>
    <font>
      <i/>
      <sz val="11"/>
      <name val="Segoe UI"/>
    </font>
    <font>
      <sz val="11"/>
      <name val="Segoe UI"/>
    </font>
    <font>
      <b/>
      <sz val="11"/>
      <name val="Segoe UI"/>
    </font>
    <font>
      <b/>
      <sz val="11"/>
      <color rgb="FFFFFFFF"/>
      <name val="Segoe UI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97D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/>
      <bottom style="medium">
        <color rgb="FF1F497D"/>
      </bottom>
      <diagonal/>
    </border>
    <border>
      <left style="thin">
        <color rgb="FFD9D9D9"/>
      </left>
      <right/>
      <top/>
      <bottom style="medium">
        <color rgb="FF1F497D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2" fontId="3" fillId="0" borderId="0" xfId="0" applyNumberFormat="1" applyFont="1"/>
    <xf numFmtId="3" fontId="3" fillId="4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4" fontId="3" fillId="0" borderId="0" xfId="0" applyNumberFormat="1" applyFont="1"/>
    <xf numFmtId="0" fontId="4" fillId="0" borderId="2" xfId="0" applyFont="1" applyBorder="1" applyAlignment="1">
      <alignment horizontal="right" vertical="center"/>
    </xf>
    <xf numFmtId="4" fontId="4" fillId="5" borderId="2" xfId="0" applyNumberFormat="1" applyFont="1" applyFill="1" applyBorder="1" applyAlignment="1">
      <alignment horizontal="right" vertical="center"/>
    </xf>
    <xf numFmtId="3" fontId="3" fillId="0" borderId="3" xfId="0" applyNumberFormat="1" applyFont="1" applyBorder="1" applyAlignment="1">
      <alignment horizontal="right" vertical="center"/>
    </xf>
    <xf numFmtId="3" fontId="3" fillId="4" borderId="3" xfId="0" applyNumberFormat="1" applyFont="1" applyFill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4" fontId="3" fillId="4" borderId="4" xfId="0" applyNumberFormat="1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3" fontId="3" fillId="0" borderId="8" xfId="0" applyNumberFormat="1" applyFont="1" applyBorder="1" applyAlignment="1">
      <alignment horizontal="right" vertical="center"/>
    </xf>
    <xf numFmtId="3" fontId="3" fillId="0" borderId="9" xfId="0" applyNumberFormat="1" applyFont="1" applyBorder="1" applyAlignment="1">
      <alignment horizontal="right" vertical="center"/>
    </xf>
    <xf numFmtId="4" fontId="3" fillId="0" borderId="9" xfId="0" applyNumberFormat="1" applyFont="1" applyBorder="1" applyAlignment="1">
      <alignment horizontal="right" vertical="center"/>
    </xf>
    <xf numFmtId="4" fontId="3" fillId="0" borderId="10" xfId="0" applyNumberFormat="1" applyFont="1" applyBorder="1" applyAlignment="1">
      <alignment horizontal="right" vertical="center"/>
    </xf>
  </cellXfs>
  <cellStyles count="1">
    <cellStyle name="一般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medium">
          <color rgb="FF1F497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廣告費用 </a:t>
            </a:r>
            <a:r>
              <a:rPr lang="en-US" altLang="zh-TW"/>
              <a:t>vs </a:t>
            </a:r>
            <a:r>
              <a:rPr lang="zh-TW" altLang="en-US"/>
              <a:t>真實營業額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真實營業額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'迴歸分析實作 (Regression)'!$A$6:$A$20</c:f>
              <c:numCache>
                <c:formatCode>#,##0</c:formatCode>
                <c:ptCount val="1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</c:numCache>
            </c:numRef>
          </c:xVal>
          <c:yVal>
            <c:numRef>
              <c:f>'迴歸分析實作 (Regression)'!$B$6:$B$20</c:f>
              <c:numCache>
                <c:formatCode>#,##0</c:formatCode>
                <c:ptCount val="15"/>
                <c:pt idx="0">
                  <c:v>35</c:v>
                </c:pt>
                <c:pt idx="1">
                  <c:v>48</c:v>
                </c:pt>
                <c:pt idx="2">
                  <c:v>62</c:v>
                </c:pt>
                <c:pt idx="3">
                  <c:v>75</c:v>
                </c:pt>
                <c:pt idx="4">
                  <c:v>92</c:v>
                </c:pt>
                <c:pt idx="5">
                  <c:v>101</c:v>
                </c:pt>
                <c:pt idx="6">
                  <c:v>118</c:v>
                </c:pt>
                <c:pt idx="7">
                  <c:v>132</c:v>
                </c:pt>
                <c:pt idx="8">
                  <c:v>145</c:v>
                </c:pt>
                <c:pt idx="9">
                  <c:v>163</c:v>
                </c:pt>
                <c:pt idx="10">
                  <c:v>172</c:v>
                </c:pt>
                <c:pt idx="11">
                  <c:v>190</c:v>
                </c:pt>
                <c:pt idx="12">
                  <c:v>204</c:v>
                </c:pt>
                <c:pt idx="13">
                  <c:v>221</c:v>
                </c:pt>
                <c:pt idx="14">
                  <c:v>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57-43FB-A0C4-DD6B32EB6380}"/>
            </c:ext>
          </c:extLst>
        </c:ser>
        <c:ser>
          <c:idx val="1"/>
          <c:order val="1"/>
          <c:tx>
            <c:v>預測線 (Y=aX+b)</c:v>
          </c:tx>
          <c:spPr>
            <a:ln w="254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'迴歸分析實作 (Regression)'!$J$2:$J$3</c:f>
              <c:numCache>
                <c:formatCode>General</c:formatCode>
                <c:ptCount val="2"/>
                <c:pt idx="0">
                  <c:v>10</c:v>
                </c:pt>
                <c:pt idx="1">
                  <c:v>80</c:v>
                </c:pt>
              </c:numCache>
            </c:numRef>
          </c:xVal>
          <c:yVal>
            <c:numRef>
              <c:f>'迴歸分析實作 (Regression)'!$K$2:$K$3</c:f>
              <c:numCache>
                <c:formatCode>General</c:formatCode>
                <c:ptCount val="2"/>
                <c:pt idx="0">
                  <c:v>11</c:v>
                </c:pt>
                <c:pt idx="1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57-43FB-A0C4-DD6B32EB6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259119"/>
        <c:axId val="1812071087"/>
      </c:scatterChart>
      <c:valAx>
        <c:axId val="85225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廣告費用 </a:t>
                </a:r>
                <a:r>
                  <a:rPr lang="en-US" altLang="zh-TW"/>
                  <a:t>(</a:t>
                </a:r>
                <a:r>
                  <a:rPr lang="zh-TW" altLang="en-US"/>
                  <a:t>萬元</a:t>
                </a:r>
                <a:r>
                  <a:rPr lang="en-US" altLang="zh-TW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12071087"/>
        <c:crosses val="autoZero"/>
        <c:crossBetween val="midCat"/>
      </c:valAx>
      <c:valAx>
        <c:axId val="181207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真實營業額 </a:t>
                </a:r>
                <a:r>
                  <a:rPr lang="en-US" altLang="zh-TW"/>
                  <a:t>(</a:t>
                </a:r>
                <a:r>
                  <a:rPr lang="zh-TW" altLang="en-US"/>
                  <a:t>萬元</a:t>
                </a:r>
                <a:r>
                  <a:rPr lang="en-US" altLang="zh-TW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2259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566057</xdr:colOff>
      <xdr:row>4</xdr:row>
      <xdr:rowOff>0</xdr:rowOff>
    </xdr:from>
    <xdr:to>
      <xdr:col>16</xdr:col>
      <xdr:colOff>566056</xdr:colOff>
      <xdr:row>22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85D9269-BE1B-6762-23B3-B1DE93926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84D6BC-01C1-4776-9D5C-69E55F122013}" name="AI_Data" displayName="AI_Data" ref="A5:D20" totalsRowShown="0" headerRowDxfId="7" headerRowBorderDxfId="6" tableBorderDxfId="5" totalsRowBorderDxfId="4">
  <autoFilter ref="A5:D20" xr:uid="{5284D6BC-01C1-4776-9D5C-69E55F122013}"/>
  <tableColumns count="4">
    <tableColumn id="1" xr3:uid="{97A72A00-8484-47D2-BE43-AF922E6858D2}" name="廣告費用 (萬元) [X]" dataDxfId="3"/>
    <tableColumn id="2" xr3:uid="{95D31A52-8871-401B-AAD6-49C56BA4FAB2}" name="真實營業額 (萬元) [Y]" dataDxfId="2"/>
    <tableColumn id="3" xr3:uid="{B61F805D-846E-470A-91AF-3BB5D7C5EE97}" name="AI 預測營業額 [ŷ = aX + b]" dataDxfId="1">
      <calculatedColumnFormula>$G$2*A6+$G$3</calculatedColumnFormula>
    </tableColumn>
    <tableColumn id="4" xr3:uid="{AA1E8257-ED72-42F4-9687-80FB02F40656}" name="預測誤差平方 [(Y - ŷ)²]" dataDxfId="0">
      <calculatedColumnFormula>(B6-C6)^2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5"/>
  <sheetViews>
    <sheetView workbookViewId="0"/>
  </sheetViews>
  <sheetFormatPr defaultRowHeight="15" x14ac:dyDescent="0.3"/>
  <cols>
    <col min="1" max="1" width="111" customWidth="1"/>
  </cols>
  <sheetData>
    <row r="2" spans="1:1" ht="24.6" x14ac:dyDescent="0.55000000000000004">
      <c r="A2" s="1" t="s">
        <v>0</v>
      </c>
    </row>
    <row r="3" spans="1:1" ht="16.8" x14ac:dyDescent="0.4">
      <c r="A3" s="2" t="s">
        <v>1</v>
      </c>
    </row>
    <row r="5" spans="1:1" ht="16.8" x14ac:dyDescent="0.4">
      <c r="A5" s="3" t="s">
        <v>2</v>
      </c>
    </row>
    <row r="6" spans="1:1" ht="16.8" x14ac:dyDescent="0.4">
      <c r="A6" s="3" t="s">
        <v>3</v>
      </c>
    </row>
    <row r="7" spans="1:1" ht="16.8" x14ac:dyDescent="0.4">
      <c r="A7" s="3" t="s">
        <v>4</v>
      </c>
    </row>
    <row r="8" spans="1:1" ht="16.8" x14ac:dyDescent="0.4">
      <c r="A8" s="3"/>
    </row>
    <row r="9" spans="1:1" ht="16.8" x14ac:dyDescent="0.4">
      <c r="A9" s="3" t="s">
        <v>5</v>
      </c>
    </row>
    <row r="10" spans="1:1" ht="16.8" x14ac:dyDescent="0.4">
      <c r="A10" s="3" t="s">
        <v>6</v>
      </c>
    </row>
    <row r="11" spans="1:1" ht="16.8" x14ac:dyDescent="0.4">
      <c r="A11" s="3" t="s">
        <v>7</v>
      </c>
    </row>
    <row r="12" spans="1:1" ht="16.8" x14ac:dyDescent="0.4">
      <c r="A12" s="3" t="s">
        <v>8</v>
      </c>
    </row>
    <row r="13" spans="1:1" ht="16.8" x14ac:dyDescent="0.4">
      <c r="A13" s="3" t="s">
        <v>9</v>
      </c>
    </row>
    <row r="14" spans="1:1" ht="16.8" x14ac:dyDescent="0.4">
      <c r="A14" s="3" t="s">
        <v>10</v>
      </c>
    </row>
    <row r="15" spans="1:1" ht="16.8" x14ac:dyDescent="0.4">
      <c r="A15" s="3" t="s">
        <v>11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abSelected="1" topLeftCell="B1" workbookViewId="0">
      <selection activeCell="G2" sqref="G2"/>
    </sheetView>
  </sheetViews>
  <sheetFormatPr defaultRowHeight="15" x14ac:dyDescent="0.3"/>
  <cols>
    <col min="1" max="1" width="22" customWidth="1"/>
    <col min="2" max="2" width="23.875" customWidth="1"/>
    <col min="3" max="3" width="29.125" customWidth="1"/>
    <col min="4" max="4" width="26" customWidth="1"/>
    <col min="5" max="5" width="12" customWidth="1"/>
    <col min="6" max="6" width="28" customWidth="1"/>
    <col min="7" max="7" width="15" customWidth="1"/>
  </cols>
  <sheetData>
    <row r="1" spans="1:11" x14ac:dyDescent="0.3">
      <c r="J1" t="s">
        <v>25</v>
      </c>
      <c r="K1" t="s">
        <v>26</v>
      </c>
    </row>
    <row r="2" spans="1:11" ht="24.6" x14ac:dyDescent="0.55000000000000004">
      <c r="A2" s="1" t="s">
        <v>12</v>
      </c>
      <c r="F2" s="4" t="s">
        <v>13</v>
      </c>
      <c r="G2" s="5">
        <v>1</v>
      </c>
      <c r="J2">
        <f>MIN(A6:A20)</f>
        <v>10</v>
      </c>
      <c r="K2">
        <f>$G$2*J2+$G$3</f>
        <v>11</v>
      </c>
    </row>
    <row r="3" spans="1:11" ht="16.8" x14ac:dyDescent="0.4">
      <c r="A3" s="2" t="s">
        <v>14</v>
      </c>
      <c r="F3" s="4" t="s">
        <v>15</v>
      </c>
      <c r="G3" s="5">
        <v>1</v>
      </c>
      <c r="J3">
        <f>MAX(A6:A20)</f>
        <v>80</v>
      </c>
      <c r="K3">
        <f>$G$2*J3+$G$3</f>
        <v>81</v>
      </c>
    </row>
    <row r="5" spans="1:11" ht="16.8" x14ac:dyDescent="0.4">
      <c r="A5" s="18" t="s">
        <v>16</v>
      </c>
      <c r="B5" s="19" t="s">
        <v>17</v>
      </c>
      <c r="C5" s="19" t="s">
        <v>18</v>
      </c>
      <c r="D5" s="20" t="s">
        <v>19</v>
      </c>
      <c r="F5" s="4" t="s">
        <v>20</v>
      </c>
    </row>
    <row r="6" spans="1:11" ht="16.8" x14ac:dyDescent="0.4">
      <c r="A6" s="14">
        <v>10</v>
      </c>
      <c r="B6" s="6">
        <v>35</v>
      </c>
      <c r="C6" s="7">
        <f t="shared" ref="C6:C20" si="0">$G$2*A6+$G$3</f>
        <v>11</v>
      </c>
      <c r="D6" s="16">
        <f t="shared" ref="D6:D20" si="1">(B6-C6)^2</f>
        <v>576</v>
      </c>
      <c r="F6" s="3" t="s">
        <v>21</v>
      </c>
      <c r="G6" s="8">
        <f>SLOPE(B6:B20, A6:A20)</f>
        <v>2.8564285714285713</v>
      </c>
    </row>
    <row r="7" spans="1:11" ht="16.8" x14ac:dyDescent="0.4">
      <c r="A7" s="15">
        <v>15</v>
      </c>
      <c r="B7" s="9">
        <v>48</v>
      </c>
      <c r="C7" s="10">
        <f t="shared" si="0"/>
        <v>16</v>
      </c>
      <c r="D7" s="17">
        <f t="shared" si="1"/>
        <v>1024</v>
      </c>
      <c r="F7" s="3" t="s">
        <v>22</v>
      </c>
      <c r="G7" s="8">
        <f>INTERCEPT(B6:B20, A6:A20)</f>
        <v>4.3273809523809632</v>
      </c>
    </row>
    <row r="8" spans="1:11" ht="16.8" x14ac:dyDescent="0.4">
      <c r="A8" s="14">
        <v>20</v>
      </c>
      <c r="B8" s="6">
        <v>62</v>
      </c>
      <c r="C8" s="7">
        <f t="shared" si="0"/>
        <v>21</v>
      </c>
      <c r="D8" s="16">
        <f t="shared" si="1"/>
        <v>1681</v>
      </c>
      <c r="F8" s="3" t="s">
        <v>23</v>
      </c>
      <c r="G8" s="11">
        <v>127.82</v>
      </c>
    </row>
    <row r="9" spans="1:11" ht="16.8" x14ac:dyDescent="0.3">
      <c r="A9" s="15">
        <v>25</v>
      </c>
      <c r="B9" s="9">
        <v>75</v>
      </c>
      <c r="C9" s="10">
        <f t="shared" si="0"/>
        <v>26</v>
      </c>
      <c r="D9" s="17">
        <f t="shared" si="1"/>
        <v>2401</v>
      </c>
    </row>
    <row r="10" spans="1:11" ht="16.8" x14ac:dyDescent="0.3">
      <c r="A10" s="14">
        <v>30</v>
      </c>
      <c r="B10" s="6">
        <v>92</v>
      </c>
      <c r="C10" s="7">
        <f t="shared" si="0"/>
        <v>31</v>
      </c>
      <c r="D10" s="16">
        <f t="shared" si="1"/>
        <v>3721</v>
      </c>
    </row>
    <row r="11" spans="1:11" ht="16.8" x14ac:dyDescent="0.3">
      <c r="A11" s="15">
        <v>35</v>
      </c>
      <c r="B11" s="9">
        <v>101</v>
      </c>
      <c r="C11" s="10">
        <f t="shared" si="0"/>
        <v>36</v>
      </c>
      <c r="D11" s="17">
        <f t="shared" si="1"/>
        <v>4225</v>
      </c>
    </row>
    <row r="12" spans="1:11" ht="16.8" x14ac:dyDescent="0.3">
      <c r="A12" s="14">
        <v>40</v>
      </c>
      <c r="B12" s="6">
        <v>118</v>
      </c>
      <c r="C12" s="7">
        <f t="shared" si="0"/>
        <v>41</v>
      </c>
      <c r="D12" s="16">
        <f t="shared" si="1"/>
        <v>5929</v>
      </c>
    </row>
    <row r="13" spans="1:11" ht="16.8" x14ac:dyDescent="0.3">
      <c r="A13" s="15">
        <v>45</v>
      </c>
      <c r="B13" s="9">
        <v>132</v>
      </c>
      <c r="C13" s="10">
        <f t="shared" si="0"/>
        <v>46</v>
      </c>
      <c r="D13" s="17">
        <f t="shared" si="1"/>
        <v>7396</v>
      </c>
    </row>
    <row r="14" spans="1:11" ht="16.8" x14ac:dyDescent="0.3">
      <c r="A14" s="14">
        <v>50</v>
      </c>
      <c r="B14" s="6">
        <v>145</v>
      </c>
      <c r="C14" s="7">
        <f t="shared" si="0"/>
        <v>51</v>
      </c>
      <c r="D14" s="16">
        <f t="shared" si="1"/>
        <v>8836</v>
      </c>
    </row>
    <row r="15" spans="1:11" ht="16.8" x14ac:dyDescent="0.3">
      <c r="A15" s="15">
        <v>55</v>
      </c>
      <c r="B15" s="9">
        <v>163</v>
      </c>
      <c r="C15" s="10">
        <f t="shared" si="0"/>
        <v>56</v>
      </c>
      <c r="D15" s="17">
        <f t="shared" si="1"/>
        <v>11449</v>
      </c>
    </row>
    <row r="16" spans="1:11" ht="16.8" x14ac:dyDescent="0.3">
      <c r="A16" s="14">
        <v>60</v>
      </c>
      <c r="B16" s="6">
        <v>172</v>
      </c>
      <c r="C16" s="7">
        <f t="shared" si="0"/>
        <v>61</v>
      </c>
      <c r="D16" s="16">
        <f t="shared" si="1"/>
        <v>12321</v>
      </c>
    </row>
    <row r="17" spans="1:4" ht="16.8" x14ac:dyDescent="0.3">
      <c r="A17" s="15">
        <v>65</v>
      </c>
      <c r="B17" s="9">
        <v>190</v>
      </c>
      <c r="C17" s="10">
        <f t="shared" si="0"/>
        <v>66</v>
      </c>
      <c r="D17" s="17">
        <f t="shared" si="1"/>
        <v>15376</v>
      </c>
    </row>
    <row r="18" spans="1:4" ht="16.8" x14ac:dyDescent="0.3">
      <c r="A18" s="14">
        <v>70</v>
      </c>
      <c r="B18" s="6">
        <v>204</v>
      </c>
      <c r="C18" s="7">
        <f t="shared" si="0"/>
        <v>71</v>
      </c>
      <c r="D18" s="16">
        <f t="shared" si="1"/>
        <v>17689</v>
      </c>
    </row>
    <row r="19" spans="1:4" ht="16.8" x14ac:dyDescent="0.3">
      <c r="A19" s="15">
        <v>75</v>
      </c>
      <c r="B19" s="9">
        <v>221</v>
      </c>
      <c r="C19" s="10">
        <f t="shared" si="0"/>
        <v>76</v>
      </c>
      <c r="D19" s="17">
        <f t="shared" si="1"/>
        <v>21025</v>
      </c>
    </row>
    <row r="20" spans="1:4" ht="16.8" x14ac:dyDescent="0.3">
      <c r="A20" s="21">
        <v>80</v>
      </c>
      <c r="B20" s="22">
        <v>235</v>
      </c>
      <c r="C20" s="23">
        <f t="shared" si="0"/>
        <v>81</v>
      </c>
      <c r="D20" s="24">
        <f t="shared" si="1"/>
        <v>23716</v>
      </c>
    </row>
    <row r="21" spans="1:4" ht="16.8" x14ac:dyDescent="0.3">
      <c r="C21" s="12" t="s">
        <v>24</v>
      </c>
      <c r="D21" s="13">
        <f>SUM(D6:D20)</f>
        <v>137365</v>
      </c>
    </row>
  </sheetData>
  <phoneticPr fontId="6" type="noConversion"/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課程導論 (Overview)</vt:lpstr>
      <vt:lpstr>迴歸分析實作 (Regression)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黃家瑞</cp:lastModifiedBy>
  <dcterms:created xsi:type="dcterms:W3CDTF">2026-05-25T14:02:56Z</dcterms:created>
  <dcterms:modified xsi:type="dcterms:W3CDTF">2026-05-30T12:10:25Z</dcterms:modified>
</cp:coreProperties>
</file>