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01_DataFile/課程準備/AI導論/"/>
    </mc:Choice>
  </mc:AlternateContent>
  <xr:revisionPtr revIDLastSave="30" documentId="8_{373C684E-6814-446A-B844-95732502391D}" xr6:coauthVersionLast="47" xr6:coauthVersionMax="47" xr10:uidLastSave="{CE177D51-9686-4D96-8E23-DF89763FAC57}"/>
  <bookViews>
    <workbookView xWindow="4834" yWindow="549" windowWidth="24686" windowHeight="13054" activeTab="1" xr2:uid="{00000000-000D-0000-FFFF-FFFF00000000}"/>
  </bookViews>
  <sheets>
    <sheet name="課程導論 (Overview)" sheetId="1" r:id="rId1"/>
    <sheet name="分群分析實作 (Clustering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E21" i="2"/>
  <c r="D21" i="2"/>
  <c r="F21" i="2" s="1"/>
  <c r="C21" i="2"/>
  <c r="E20" i="2"/>
  <c r="D20" i="2"/>
  <c r="C20" i="2"/>
  <c r="F20" i="2" s="1"/>
  <c r="E19" i="2"/>
  <c r="D19" i="2"/>
  <c r="F19" i="2" s="1"/>
  <c r="C19" i="2"/>
  <c r="E18" i="2"/>
  <c r="D18" i="2"/>
  <c r="C18" i="2"/>
  <c r="E17" i="2"/>
  <c r="D17" i="2"/>
  <c r="F17" i="2" s="1"/>
  <c r="C17" i="2"/>
  <c r="E16" i="2"/>
  <c r="D16" i="2"/>
  <c r="C16" i="2"/>
  <c r="F16" i="2" s="1"/>
  <c r="E15" i="2"/>
  <c r="D15" i="2"/>
  <c r="F15" i="2" s="1"/>
  <c r="C15" i="2"/>
  <c r="E14" i="2"/>
  <c r="D14" i="2"/>
  <c r="C14" i="2"/>
  <c r="F14" i="2" s="1"/>
  <c r="E13" i="2"/>
  <c r="D13" i="2"/>
  <c r="F13" i="2" s="1"/>
  <c r="C13" i="2"/>
  <c r="E12" i="2"/>
  <c r="D12" i="2"/>
  <c r="C12" i="2"/>
  <c r="F12" i="2" s="1"/>
  <c r="E11" i="2"/>
  <c r="D11" i="2"/>
  <c r="F11" i="2" s="1"/>
  <c r="C11" i="2"/>
  <c r="E10" i="2"/>
  <c r="D10" i="2"/>
  <c r="C10" i="2"/>
  <c r="F10" i="2" s="1"/>
  <c r="E9" i="2"/>
  <c r="D9" i="2"/>
  <c r="F9" i="2" s="1"/>
  <c r="C9" i="2"/>
  <c r="E8" i="2"/>
  <c r="D8" i="2"/>
  <c r="C8" i="2"/>
  <c r="F8" i="2" s="1"/>
  <c r="E7" i="2"/>
  <c r="D7" i="2"/>
  <c r="F7" i="2" s="1"/>
  <c r="C7" i="2"/>
  <c r="F22" i="2" l="1"/>
  <c r="F18" i="2"/>
</calcChain>
</file>

<file path=xl/sharedStrings.xml><?xml version="1.0" encoding="utf-8"?>
<sst xmlns="http://schemas.openxmlformats.org/spreadsheetml/2006/main" count="32" uniqueCount="32">
  <si>
    <t>AI-901 第二小時：機器學習分群分析 (Clustering) 實作範例</t>
  </si>
  <si>
    <t>體驗核心：非監督式學習 (Unsupervised Learning) ── 沒有標準答案的「物以類聚」</t>
  </si>
  <si>
    <t>【本範例教學目的】</t>
  </si>
  <si>
    <t>引導學員理解在「沒有歷史標籤（答案）」的情況下，如何利用數據間的距離，自動將客戶進行分眾。</t>
  </si>
  <si>
    <t>此實作模擬了經典的 K-Means 演算法邏輯，讓學員手動輸入群集中心，親眼看見資料點「重新歸類」的過程。</t>
  </si>
  <si>
    <t>【實作步驟說明】</t>
  </si>
  <si>
    <t>1. 切換至右側的「分群分析實作 (Clustering)」工作表。</t>
  </si>
  <si>
    <t>2. 觀察 A、B 欄的客戶數據。此時所有數據都是單一背景色，因為「沒有標準答案 Y」。</t>
  </si>
  <si>
    <t>3. 右側 G2:I4 為「自訂群集中心（Centroids）設定區」。請學員嘗試修改這三個中心的 (X, Y) 座標。</t>
  </si>
  <si>
    <t xml:space="preserve">   - 中心 1 (黃色)：代表第一類客群的中心點</t>
  </si>
  <si>
    <t xml:space="preserve">   - 中心 2 (綠色)：代表第二類客群的中心點</t>
  </si>
  <si>
    <t xml:space="preserve">   - 中心 3 (橙色)：代表第三類客群的中心點</t>
  </si>
  <si>
    <t>4. 觀察 C、D、E 欄。Excel 會自動利用幾何距離公式（歐幾里得距離），算出每個客戶離哪一個中心最近。</t>
  </si>
  <si>
    <t>5. F 欄的「AI 最終歸屬群集」會自動根據最短距離，將該客戶派發給對應的中心（顯示 1, 2 或 3）。</t>
  </si>
  <si>
    <t>6. 講師導引：讓學員用肉眼觀察數據的自然聚集規律，透過微調 G3:I4 的數值，讓三個中心剛好落在三個點陣團塊的中央。</t>
  </si>
  <si>
    <t>7. 觀念反轉：引導學員反思 ── 因為這份資料本來就沒有答案，所以我們無法計算『準確率』或『F1-Score』！</t>
  </si>
  <si>
    <t xml:space="preserve">   分群的好壞，只能靠「群內距離愈近、群間距離愈遠」的距離指標來評估。</t>
  </si>
  <si>
    <t>電商平台客戶消費行為分群模擬</t>
  </si>
  <si>
    <t>💡 K-Means 群集中心自訂區 (請學員調整 X 與 Y)</t>
  </si>
  <si>
    <t>請學員調整右側三個群集中心的 X 與 Y 座標，體驗 AI 如何利用「距離」將客戶物以類聚！</t>
  </si>
  <si>
    <t>群集中心</t>
  </si>
  <si>
    <t>來店次數 (X 軸)</t>
  </si>
  <si>
    <t>消費金額 (Y 軸)</t>
  </si>
  <si>
    <t>中心 1 (黃)</t>
  </si>
  <si>
    <t>中心 2 (綠)</t>
  </si>
  <si>
    <t>月來店次數 [X]</t>
  </si>
  <si>
    <t>單筆消費金額 [Y]</t>
  </si>
  <si>
    <t>到中心1距離</t>
  </si>
  <si>
    <t>到中心2距離</t>
  </si>
  <si>
    <t>到中心3距離</t>
  </si>
  <si>
    <t>AI 最終歸屬群集</t>
  </si>
  <si>
    <t>中心 3 (橙)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</si>
</sst>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新細明體"/>
      <family val="2"/>
      <scheme val="minor"/>
    </font>
    <font>
      <b/>
      <sz val="16"/>
      <color rgb="FF1F497D"/>
      <name val="Segoe UI"/>
      <family val="2"/>
    </font>
    <font>
      <i/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3" fontId="4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176" fontId="3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客戶消費行為分群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客戶數據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'分群分析實作 (Clustering)'!$A$7:$A$22</c:f>
              <c:numCache>
                <c:formatCode>#,##0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12</c:v>
                </c:pt>
                <c:pt idx="7">
                  <c:v>15</c:v>
                </c:pt>
                <c:pt idx="8">
                  <c:v>14</c:v>
                </c:pt>
                <c:pt idx="9">
                  <c:v>16</c:v>
                </c:pt>
                <c:pt idx="10">
                  <c:v>13</c:v>
                </c:pt>
                <c:pt idx="11">
                  <c:v>25</c:v>
                </c:pt>
                <c:pt idx="12">
                  <c:v>22</c:v>
                </c:pt>
                <c:pt idx="13">
                  <c:v>24</c:v>
                </c:pt>
                <c:pt idx="14">
                  <c:v>21</c:v>
                </c:pt>
                <c:pt idx="15">
                  <c:v>23</c:v>
                </c:pt>
              </c:numCache>
            </c:numRef>
          </c:xVal>
          <c:yVal>
            <c:numRef>
              <c:f>'分群分析實作 (Clustering)'!$B$7:$B$22</c:f>
              <c:numCache>
                <c:formatCode>#,##0</c:formatCode>
                <c:ptCount val="16"/>
                <c:pt idx="0">
                  <c:v>600</c:v>
                </c:pt>
                <c:pt idx="1">
                  <c:v>900</c:v>
                </c:pt>
                <c:pt idx="2">
                  <c:v>500</c:v>
                </c:pt>
                <c:pt idx="3">
                  <c:v>750</c:v>
                </c:pt>
                <c:pt idx="4">
                  <c:v>850</c:v>
                </c:pt>
                <c:pt idx="5">
                  <c:v>700</c:v>
                </c:pt>
                <c:pt idx="6">
                  <c:v>4200</c:v>
                </c:pt>
                <c:pt idx="7">
                  <c:v>3800</c:v>
                </c:pt>
                <c:pt idx="8">
                  <c:v>4500</c:v>
                </c:pt>
                <c:pt idx="9">
                  <c:v>4000</c:v>
                </c:pt>
                <c:pt idx="10">
                  <c:v>3900</c:v>
                </c:pt>
                <c:pt idx="11">
                  <c:v>1300</c:v>
                </c:pt>
                <c:pt idx="12">
                  <c:v>1100</c:v>
                </c:pt>
                <c:pt idx="13">
                  <c:v>1500</c:v>
                </c:pt>
                <c:pt idx="14">
                  <c:v>1250</c:v>
                </c:pt>
                <c:pt idx="15">
                  <c:v>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1-4957-A2E9-5F358F85188E}"/>
            </c:ext>
          </c:extLst>
        </c:ser>
        <c:ser>
          <c:idx val="1"/>
          <c:order val="1"/>
          <c:tx>
            <c:v>中心 1 (黃)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D700"/>
              </a:solidFill>
              <a:ln w="9525">
                <a:solidFill>
                  <a:srgbClr val="FFD700"/>
                </a:solidFill>
                <a:prstDash val="solid"/>
              </a:ln>
              <a:effectLst/>
            </c:spPr>
          </c:marker>
          <c:xVal>
            <c:numRef>
              <c:f>'分群分析實作 (Clustering)'!$H$4</c:f>
              <c:numCache>
                <c:formatCode>#,##0</c:formatCode>
                <c:ptCount val="1"/>
                <c:pt idx="0">
                  <c:v>4</c:v>
                </c:pt>
              </c:numCache>
            </c:numRef>
          </c:xVal>
          <c:yVal>
            <c:numRef>
              <c:f>'分群分析實作 (Clustering)'!$I$4</c:f>
              <c:numCache>
                <c:formatCode>#,##0</c:formatCode>
                <c:ptCount val="1"/>
                <c:pt idx="0">
                  <c:v>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91-4957-A2E9-5F358F85188E}"/>
            </c:ext>
          </c:extLst>
        </c:ser>
        <c:ser>
          <c:idx val="2"/>
          <c:order val="2"/>
          <c:tx>
            <c:v>中心 2 (綠)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'分群分析實作 (Clustering)'!$H$5</c:f>
              <c:numCache>
                <c:formatCode>#,##0</c:formatCode>
                <c:ptCount val="1"/>
                <c:pt idx="0">
                  <c:v>15</c:v>
                </c:pt>
              </c:numCache>
            </c:numRef>
          </c:xVal>
          <c:yVal>
            <c:numRef>
              <c:f>'分群分析實作 (Clustering)'!$I$5</c:f>
              <c:numCache>
                <c:formatCode>#,##0</c:formatCode>
                <c:ptCount val="1"/>
                <c:pt idx="0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91-4957-A2E9-5F358F85188E}"/>
            </c:ext>
          </c:extLst>
        </c:ser>
        <c:ser>
          <c:idx val="3"/>
          <c:order val="3"/>
          <c:tx>
            <c:v>中心 3 (紅)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'分群分析實作 (Clustering)'!$H$6</c:f>
              <c:numCache>
                <c:formatCode>#,##0</c:formatCode>
                <c:ptCount val="1"/>
                <c:pt idx="0">
                  <c:v>22</c:v>
                </c:pt>
              </c:numCache>
            </c:numRef>
          </c:xVal>
          <c:yVal>
            <c:numRef>
              <c:f>'分群分析實作 (Clustering)'!$I$6</c:f>
              <c:numCache>
                <c:formatCode>#,##0</c:formatCode>
                <c:ptCount val="1"/>
                <c:pt idx="0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91-4957-A2E9-5F358F85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252367"/>
        <c:axId val="1158529103"/>
      </c:scatterChart>
      <c:valAx>
        <c:axId val="160625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來店次數 </a:t>
                </a:r>
                <a:r>
                  <a:rPr lang="en-US" altLang="zh-TW"/>
                  <a:t>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8529103"/>
        <c:crosses val="autoZero"/>
        <c:crossBetween val="midCat"/>
      </c:valAx>
      <c:valAx>
        <c:axId val="11585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消費金額 </a:t>
                </a:r>
                <a:r>
                  <a:rPr lang="en-US" altLang="zh-TW"/>
                  <a:t>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6252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7</xdr:row>
      <xdr:rowOff>0</xdr:rowOff>
    </xdr:from>
    <xdr:to>
      <xdr:col>13</xdr:col>
      <xdr:colOff>464458</xdr:colOff>
      <xdr:row>24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A48BB69-6226-65B8-FF08-1797E736D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0"/>
  <sheetViews>
    <sheetView workbookViewId="0"/>
  </sheetViews>
  <sheetFormatPr defaultRowHeight="15.45" x14ac:dyDescent="0.4"/>
  <cols>
    <col min="1" max="1" width="113" customWidth="1"/>
  </cols>
  <sheetData>
    <row r="2" spans="1:1" ht="23.15" x14ac:dyDescent="0.7">
      <c r="A2" s="1" t="s">
        <v>0</v>
      </c>
    </row>
    <row r="3" spans="1:1" ht="17.149999999999999" x14ac:dyDescent="0.55000000000000004">
      <c r="A3" s="2" t="s">
        <v>1</v>
      </c>
    </row>
    <row r="5" spans="1:1" ht="17.149999999999999" x14ac:dyDescent="0.55000000000000004">
      <c r="A5" s="3" t="s">
        <v>2</v>
      </c>
    </row>
    <row r="6" spans="1:1" ht="17.149999999999999" x14ac:dyDescent="0.55000000000000004">
      <c r="A6" s="3" t="s">
        <v>3</v>
      </c>
    </row>
    <row r="7" spans="1:1" ht="17.149999999999999" x14ac:dyDescent="0.55000000000000004">
      <c r="A7" s="3" t="s">
        <v>4</v>
      </c>
    </row>
    <row r="8" spans="1:1" ht="17.149999999999999" x14ac:dyDescent="0.55000000000000004">
      <c r="A8" s="3"/>
    </row>
    <row r="9" spans="1:1" ht="17.149999999999999" x14ac:dyDescent="0.55000000000000004">
      <c r="A9" s="3" t="s">
        <v>5</v>
      </c>
    </row>
    <row r="10" spans="1:1" ht="17.149999999999999" x14ac:dyDescent="0.55000000000000004">
      <c r="A10" s="3" t="s">
        <v>6</v>
      </c>
    </row>
    <row r="11" spans="1:1" ht="17.149999999999999" x14ac:dyDescent="0.55000000000000004">
      <c r="A11" s="3" t="s">
        <v>7</v>
      </c>
    </row>
    <row r="12" spans="1:1" ht="17.149999999999999" x14ac:dyDescent="0.55000000000000004">
      <c r="A12" s="3" t="s">
        <v>8</v>
      </c>
    </row>
    <row r="13" spans="1:1" ht="17.149999999999999" x14ac:dyDescent="0.55000000000000004">
      <c r="A13" s="3" t="s">
        <v>9</v>
      </c>
    </row>
    <row r="14" spans="1:1" ht="17.149999999999999" x14ac:dyDescent="0.55000000000000004">
      <c r="A14" s="3" t="s">
        <v>10</v>
      </c>
    </row>
    <row r="15" spans="1:1" ht="17.149999999999999" x14ac:dyDescent="0.55000000000000004">
      <c r="A15" s="3" t="s">
        <v>11</v>
      </c>
    </row>
    <row r="16" spans="1:1" ht="17.149999999999999" x14ac:dyDescent="0.55000000000000004">
      <c r="A16" s="3" t="s">
        <v>12</v>
      </c>
    </row>
    <row r="17" spans="1:1" ht="17.149999999999999" x14ac:dyDescent="0.55000000000000004">
      <c r="A17" s="3" t="s">
        <v>13</v>
      </c>
    </row>
    <row r="18" spans="1:1" ht="17.149999999999999" x14ac:dyDescent="0.55000000000000004">
      <c r="A18" s="3" t="s">
        <v>14</v>
      </c>
    </row>
    <row r="19" spans="1:1" ht="17.149999999999999" x14ac:dyDescent="0.55000000000000004">
      <c r="A19" s="3" t="s">
        <v>15</v>
      </c>
    </row>
    <row r="20" spans="1:1" ht="17.149999999999999" x14ac:dyDescent="0.55000000000000004">
      <c r="A20" s="3" t="s">
        <v>16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2"/>
  <sheetViews>
    <sheetView tabSelected="1" workbookViewId="0">
      <selection activeCell="I5" sqref="I5"/>
    </sheetView>
  </sheetViews>
  <sheetFormatPr defaultRowHeight="15.45" x14ac:dyDescent="0.4"/>
  <cols>
    <col min="1" max="2" width="18" customWidth="1"/>
    <col min="3" max="5" width="15" customWidth="1"/>
    <col min="6" max="6" width="20" customWidth="1"/>
    <col min="7" max="7" width="16" customWidth="1"/>
    <col min="8" max="9" width="18" customWidth="1"/>
  </cols>
  <sheetData>
    <row r="2" spans="1:9" ht="23.15" x14ac:dyDescent="0.7">
      <c r="A2" s="1" t="s">
        <v>17</v>
      </c>
      <c r="G2" s="18" t="s">
        <v>18</v>
      </c>
      <c r="H2" s="19"/>
      <c r="I2" s="19"/>
    </row>
    <row r="3" spans="1:9" ht="17.149999999999999" x14ac:dyDescent="0.55000000000000004">
      <c r="A3" s="2" t="s">
        <v>19</v>
      </c>
      <c r="G3" s="4" t="s">
        <v>20</v>
      </c>
      <c r="H3" s="4" t="s">
        <v>21</v>
      </c>
      <c r="I3" s="4" t="s">
        <v>22</v>
      </c>
    </row>
    <row r="4" spans="1:9" ht="17.149999999999999" x14ac:dyDescent="0.55000000000000004">
      <c r="G4" s="5" t="s">
        <v>23</v>
      </c>
      <c r="H4" s="6">
        <v>4</v>
      </c>
      <c r="I4" s="6">
        <v>800</v>
      </c>
    </row>
    <row r="5" spans="1:9" ht="17.149999999999999" x14ac:dyDescent="0.55000000000000004">
      <c r="G5" s="7" t="s">
        <v>24</v>
      </c>
      <c r="H5" s="8">
        <v>15</v>
      </c>
      <c r="I5" s="8">
        <v>3500</v>
      </c>
    </row>
    <row r="6" spans="1:9" ht="17.149999999999999" x14ac:dyDescent="0.55000000000000004">
      <c r="A6" s="9" t="s">
        <v>25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10" t="s">
        <v>31</v>
      </c>
      <c r="H6" s="11">
        <v>22</v>
      </c>
      <c r="I6" s="11">
        <v>1200</v>
      </c>
    </row>
    <row r="7" spans="1:9" ht="17.149999999999999" x14ac:dyDescent="0.4">
      <c r="A7" s="12">
        <v>3</v>
      </c>
      <c r="B7" s="12">
        <v>600</v>
      </c>
      <c r="C7" s="13">
        <f t="shared" ref="C7:C22" si="0">SQRT((A7-$H$4)^2+(B7-$I$4)^2)</f>
        <v>200.00249998437519</v>
      </c>
      <c r="D7" s="13">
        <f t="shared" ref="D7:D22" si="1">SQRT((A7-$H$5)^2+(B7-$I$5)^2)</f>
        <v>2900.0248274799305</v>
      </c>
      <c r="E7" s="13">
        <f t="shared" ref="E7:E22" si="2">SQRT((A7-$H$6)^2+(B7-$I$6)^2)</f>
        <v>600.30075795387768</v>
      </c>
      <c r="F7" s="14">
        <f t="shared" ref="F7:F22" si="3">MATCH(MIN(C7:E7),C7:E7,0)</f>
        <v>1</v>
      </c>
    </row>
    <row r="8" spans="1:9" ht="17.149999999999999" x14ac:dyDescent="0.4">
      <c r="A8" s="15">
        <v>5</v>
      </c>
      <c r="B8" s="15">
        <v>900</v>
      </c>
      <c r="C8" s="16">
        <f t="shared" si="0"/>
        <v>100.00499987500625</v>
      </c>
      <c r="D8" s="16">
        <f t="shared" si="1"/>
        <v>2600.0192306981116</v>
      </c>
      <c r="E8" s="16">
        <f t="shared" si="2"/>
        <v>300.48128061494947</v>
      </c>
      <c r="F8" s="17">
        <f t="shared" si="3"/>
        <v>1</v>
      </c>
    </row>
    <row r="9" spans="1:9" ht="17.149999999999999" x14ac:dyDescent="0.4">
      <c r="A9" s="12">
        <v>2</v>
      </c>
      <c r="B9" s="12">
        <v>500</v>
      </c>
      <c r="C9" s="13">
        <f t="shared" si="0"/>
        <v>300.00666659259423</v>
      </c>
      <c r="D9" s="13">
        <f t="shared" si="1"/>
        <v>3000.028166534441</v>
      </c>
      <c r="E9" s="13">
        <f t="shared" si="2"/>
        <v>700.28565600046386</v>
      </c>
      <c r="F9" s="14">
        <f t="shared" si="3"/>
        <v>1</v>
      </c>
    </row>
    <row r="10" spans="1:9" ht="17.149999999999999" x14ac:dyDescent="0.4">
      <c r="A10" s="15">
        <v>4</v>
      </c>
      <c r="B10" s="15">
        <v>750</v>
      </c>
      <c r="C10" s="16">
        <f t="shared" si="0"/>
        <v>50</v>
      </c>
      <c r="D10" s="16">
        <f t="shared" si="1"/>
        <v>2750.0219999120009</v>
      </c>
      <c r="E10" s="16">
        <f t="shared" si="2"/>
        <v>450.35985611508494</v>
      </c>
      <c r="F10" s="17">
        <f t="shared" si="3"/>
        <v>1</v>
      </c>
    </row>
    <row r="11" spans="1:9" ht="17.149999999999999" x14ac:dyDescent="0.4">
      <c r="A11" s="12">
        <v>6</v>
      </c>
      <c r="B11" s="12">
        <v>850</v>
      </c>
      <c r="C11" s="13">
        <f t="shared" si="0"/>
        <v>50.039984012787215</v>
      </c>
      <c r="D11" s="13">
        <f t="shared" si="1"/>
        <v>2650.0152829747981</v>
      </c>
      <c r="E11" s="13">
        <f t="shared" si="2"/>
        <v>350.36552341804406</v>
      </c>
      <c r="F11" s="14">
        <f t="shared" si="3"/>
        <v>1</v>
      </c>
    </row>
    <row r="12" spans="1:9" ht="17.149999999999999" x14ac:dyDescent="0.4">
      <c r="A12" s="15">
        <v>3</v>
      </c>
      <c r="B12" s="15">
        <v>700</v>
      </c>
      <c r="C12" s="16">
        <f t="shared" si="0"/>
        <v>100.00499987500625</v>
      </c>
      <c r="D12" s="16">
        <f t="shared" si="1"/>
        <v>2800.0257141676398</v>
      </c>
      <c r="E12" s="16">
        <f t="shared" si="2"/>
        <v>500.36086977300693</v>
      </c>
      <c r="F12" s="17">
        <f t="shared" si="3"/>
        <v>1</v>
      </c>
    </row>
    <row r="13" spans="1:9" ht="17.149999999999999" x14ac:dyDescent="0.4">
      <c r="A13" s="12">
        <v>12</v>
      </c>
      <c r="B13" s="12">
        <v>4200</v>
      </c>
      <c r="C13" s="13">
        <f t="shared" si="0"/>
        <v>3400.0094117516792</v>
      </c>
      <c r="D13" s="13">
        <f t="shared" si="1"/>
        <v>700.00642854190994</v>
      </c>
      <c r="E13" s="13">
        <f t="shared" si="2"/>
        <v>3000.0166666203704</v>
      </c>
      <c r="F13" s="14">
        <f t="shared" si="3"/>
        <v>2</v>
      </c>
    </row>
    <row r="14" spans="1:9" ht="17.149999999999999" x14ac:dyDescent="0.4">
      <c r="A14" s="15">
        <v>15</v>
      </c>
      <c r="B14" s="15">
        <v>3800</v>
      </c>
      <c r="C14" s="16">
        <f t="shared" si="0"/>
        <v>3000.0201665988848</v>
      </c>
      <c r="D14" s="16">
        <f t="shared" si="1"/>
        <v>300</v>
      </c>
      <c r="E14" s="16">
        <f t="shared" si="2"/>
        <v>2600.0094230598474</v>
      </c>
      <c r="F14" s="17">
        <f t="shared" si="3"/>
        <v>2</v>
      </c>
    </row>
    <row r="15" spans="1:9" ht="17.149999999999999" x14ac:dyDescent="0.4">
      <c r="A15" s="12">
        <v>14</v>
      </c>
      <c r="B15" s="12">
        <v>4500</v>
      </c>
      <c r="C15" s="13">
        <f t="shared" si="0"/>
        <v>3700.013513488836</v>
      </c>
      <c r="D15" s="13">
        <f t="shared" si="1"/>
        <v>1000.000499999875</v>
      </c>
      <c r="E15" s="13">
        <f t="shared" si="2"/>
        <v>3300.0096969554497</v>
      </c>
      <c r="F15" s="14">
        <f t="shared" si="3"/>
        <v>2</v>
      </c>
    </row>
    <row r="16" spans="1:9" ht="17.149999999999999" x14ac:dyDescent="0.4">
      <c r="A16" s="15">
        <v>16</v>
      </c>
      <c r="B16" s="15">
        <v>4000</v>
      </c>
      <c r="C16" s="16">
        <f t="shared" si="0"/>
        <v>3200.022499920899</v>
      </c>
      <c r="D16" s="16">
        <f t="shared" si="1"/>
        <v>500.00099999899999</v>
      </c>
      <c r="E16" s="16">
        <f t="shared" si="2"/>
        <v>2800.0064285640487</v>
      </c>
      <c r="F16" s="17">
        <f t="shared" si="3"/>
        <v>2</v>
      </c>
    </row>
    <row r="17" spans="1:6" ht="17.149999999999999" x14ac:dyDescent="0.4">
      <c r="A17" s="12">
        <v>13</v>
      </c>
      <c r="B17" s="12">
        <v>3900</v>
      </c>
      <c r="C17" s="13">
        <f t="shared" si="0"/>
        <v>3100.0130644885999</v>
      </c>
      <c r="D17" s="13">
        <f t="shared" si="1"/>
        <v>400.00499996875038</v>
      </c>
      <c r="E17" s="13">
        <f t="shared" si="2"/>
        <v>2700.0149999583336</v>
      </c>
      <c r="F17" s="14">
        <f t="shared" si="3"/>
        <v>2</v>
      </c>
    </row>
    <row r="18" spans="1:6" ht="17.149999999999999" x14ac:dyDescent="0.4">
      <c r="A18" s="15">
        <v>25</v>
      </c>
      <c r="B18" s="15">
        <v>1300</v>
      </c>
      <c r="C18" s="16">
        <f t="shared" si="0"/>
        <v>500.44080569034338</v>
      </c>
      <c r="D18" s="16">
        <f t="shared" si="1"/>
        <v>2200.0227271553354</v>
      </c>
      <c r="E18" s="16">
        <f t="shared" si="2"/>
        <v>100.04498987955368</v>
      </c>
      <c r="F18" s="17">
        <f t="shared" si="3"/>
        <v>3</v>
      </c>
    </row>
    <row r="19" spans="1:6" ht="17.149999999999999" x14ac:dyDescent="0.4">
      <c r="A19" s="12">
        <v>22</v>
      </c>
      <c r="B19" s="12">
        <v>1100</v>
      </c>
      <c r="C19" s="13">
        <f t="shared" si="0"/>
        <v>300.53951487283666</v>
      </c>
      <c r="D19" s="13">
        <f t="shared" si="1"/>
        <v>2400.010208311623</v>
      </c>
      <c r="E19" s="13">
        <f t="shared" si="2"/>
        <v>100</v>
      </c>
      <c r="F19" s="14">
        <f t="shared" si="3"/>
        <v>3</v>
      </c>
    </row>
    <row r="20" spans="1:6" ht="17.149999999999999" x14ac:dyDescent="0.4">
      <c r="A20" s="15">
        <v>24</v>
      </c>
      <c r="B20" s="15">
        <v>1500</v>
      </c>
      <c r="C20" s="16">
        <f t="shared" si="0"/>
        <v>700.28565600046386</v>
      </c>
      <c r="D20" s="16">
        <f t="shared" si="1"/>
        <v>2000.0202498974854</v>
      </c>
      <c r="E20" s="16">
        <f t="shared" si="2"/>
        <v>300.00666659259423</v>
      </c>
      <c r="F20" s="17">
        <f t="shared" si="3"/>
        <v>3</v>
      </c>
    </row>
    <row r="21" spans="1:6" ht="17.149999999999999" x14ac:dyDescent="0.4">
      <c r="A21" s="12">
        <v>21</v>
      </c>
      <c r="B21" s="12">
        <v>1250</v>
      </c>
      <c r="C21" s="13">
        <f t="shared" si="0"/>
        <v>450.32099662351965</v>
      </c>
      <c r="D21" s="13">
        <f t="shared" si="1"/>
        <v>2250.007999985778</v>
      </c>
      <c r="E21" s="13">
        <f t="shared" si="2"/>
        <v>50.009999000199947</v>
      </c>
      <c r="F21" s="14">
        <f t="shared" si="3"/>
        <v>3</v>
      </c>
    </row>
    <row r="22" spans="1:6" ht="17.149999999999999" x14ac:dyDescent="0.4">
      <c r="A22" s="15">
        <v>23</v>
      </c>
      <c r="B22" s="15">
        <v>1400</v>
      </c>
      <c r="C22" s="16">
        <f t="shared" si="0"/>
        <v>600.30075795387768</v>
      </c>
      <c r="D22" s="16">
        <f t="shared" si="1"/>
        <v>2100.0152380399527</v>
      </c>
      <c r="E22" s="16">
        <f t="shared" si="2"/>
        <v>200.00249998437519</v>
      </c>
      <c r="F22" s="17">
        <f t="shared" si="3"/>
        <v>3</v>
      </c>
    </row>
  </sheetData>
  <mergeCells count="1">
    <mergeCell ref="G2:I2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課程導論 (Overview)</vt:lpstr>
      <vt:lpstr>分群分析實作 (Clustering)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黃家瑞</cp:lastModifiedBy>
  <dcterms:created xsi:type="dcterms:W3CDTF">2026-05-26T12:16:00Z</dcterms:created>
  <dcterms:modified xsi:type="dcterms:W3CDTF">2026-05-26T12:26:54Z</dcterms:modified>
</cp:coreProperties>
</file>